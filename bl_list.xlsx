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mbusnepal-my.sharepoint.com/personal/shailesh_sharma_nimbusnepal_com/Documents/Download/containers/"/>
    </mc:Choice>
  </mc:AlternateContent>
  <xr:revisionPtr revIDLastSave="9" documentId="8_{02B6DB01-D010-47FE-8CA4-57901EA6C68B}" xr6:coauthVersionLast="47" xr6:coauthVersionMax="47" xr10:uidLastSave="{B540CD62-B4C6-4A54-B388-AA9C951C8632}"/>
  <bookViews>
    <workbookView xWindow="-108" yWindow="-108" windowWidth="23256" windowHeight="12576" xr2:uid="{4386ABB8-F5B3-493D-8CE2-C245F8271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K29" i="1" s="1"/>
  <c r="J28" i="1"/>
  <c r="K28" i="1" s="1"/>
  <c r="G27" i="1"/>
  <c r="J27" i="1" s="1"/>
  <c r="K27" i="1" s="1"/>
  <c r="J26" i="1"/>
  <c r="K26" i="1" s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<sst xmlns="http://schemas.openxmlformats.org/spreadsheetml/2006/main" count="241" uniqueCount="127">
  <si>
    <t>LC OPEN AND CARGO IN TRANSIT</t>
  </si>
  <si>
    <t>n</t>
  </si>
  <si>
    <t>BENEFICIARY</t>
  </si>
  <si>
    <t>BROKER</t>
  </si>
  <si>
    <t>COMMODITIES</t>
  </si>
  <si>
    <t>PI NO.</t>
  </si>
  <si>
    <t>QTY</t>
  </si>
  <si>
    <t>Tole</t>
  </si>
  <si>
    <t>RATE</t>
  </si>
  <si>
    <t>AMOUNT</t>
  </si>
  <si>
    <t>DELIVERY</t>
  </si>
  <si>
    <t>FREE DAYS</t>
  </si>
  <si>
    <t>Payment</t>
  </si>
  <si>
    <t>LC/DAP</t>
  </si>
  <si>
    <t>BL NO.</t>
  </si>
  <si>
    <t>SHIPPING LINE</t>
  </si>
  <si>
    <t>ETA</t>
  </si>
  <si>
    <t>MANDALA TRADING PTY LTD</t>
  </si>
  <si>
    <t>CREDENCE</t>
  </si>
  <si>
    <t>CANOLA</t>
  </si>
  <si>
    <t>MT05327</t>
  </si>
  <si>
    <t>CFR BIRGUNJ</t>
  </si>
  <si>
    <t>MAY/JUNE</t>
  </si>
  <si>
    <t>HBDFX09830109</t>
  </si>
  <si>
    <t>MAERSK</t>
  </si>
  <si>
    <t>29-08-2026 DRYPORT</t>
  </si>
  <si>
    <t>DOC AT BANK</t>
  </si>
  <si>
    <t>ROBINSON GRAIN TRADING CO PTY LTD</t>
  </si>
  <si>
    <t>HIMANSHU</t>
  </si>
  <si>
    <t>JUNE</t>
  </si>
  <si>
    <t>E002SU0025</t>
  </si>
  <si>
    <t>MEDUGG663438</t>
  </si>
  <si>
    <t>MSC</t>
  </si>
  <si>
    <t>15-10-2026 BRJ</t>
  </si>
  <si>
    <t>DEMETER CORMACK PTY LTD</t>
  </si>
  <si>
    <t>A8613</t>
  </si>
  <si>
    <t>006IMFLC261787</t>
  </si>
  <si>
    <t>SEASONS OVERSEAS PTE LTD</t>
  </si>
  <si>
    <t>Soybean Seed</t>
  </si>
  <si>
    <t>SIGHT</t>
  </si>
  <si>
    <t>ISDF0A126USD2631</t>
  </si>
  <si>
    <t>12-09-2026  BRJ</t>
  </si>
  <si>
    <t>FREY A/S</t>
  </si>
  <si>
    <t>MIN JI</t>
  </si>
  <si>
    <t>S06275</t>
  </si>
  <si>
    <t>HBDFX09821558</t>
  </si>
  <si>
    <t>14-06-2026 BRJ</t>
  </si>
  <si>
    <t>ISDF0A126USD2720</t>
  </si>
  <si>
    <t>HAPAG</t>
  </si>
  <si>
    <t>30-08-2026 BRJ</t>
  </si>
  <si>
    <t>Soybean Meal</t>
  </si>
  <si>
    <t>CFR BRJ</t>
  </si>
  <si>
    <t>D002SU0504</t>
  </si>
  <si>
    <t>30-08-2026 FROM VIZAG</t>
  </si>
  <si>
    <t>OK</t>
  </si>
  <si>
    <t>09-09-2026 BRJ</t>
  </si>
  <si>
    <t>OLAM GLOBAL AGRI PTE</t>
  </si>
  <si>
    <t>SUNVIN OILS</t>
  </si>
  <si>
    <t>CDSBO</t>
  </si>
  <si>
    <t>25/S/11272/A</t>
  </si>
  <si>
    <t>CIF HALDIA</t>
  </si>
  <si>
    <t>JULY</t>
  </si>
  <si>
    <t>006IMFLC261580</t>
  </si>
  <si>
    <t>MT WECO SENNA</t>
  </si>
  <si>
    <t>06-08-2026 BRAZIL</t>
  </si>
  <si>
    <t>DHL  9233895322.</t>
  </si>
  <si>
    <t>SAVERAA</t>
  </si>
  <si>
    <t>26/S/03188/A</t>
  </si>
  <si>
    <t>ISDF0A126USD2886</t>
  </si>
  <si>
    <t>07-08-2026 BRAZIL</t>
  </si>
  <si>
    <t>26/S/03279/A</t>
  </si>
  <si>
    <t>ISDF0A126USD2888</t>
  </si>
  <si>
    <t>07-08-2026 ARGENTINA</t>
  </si>
  <si>
    <t>MT CHAMPION POMER</t>
  </si>
  <si>
    <t>26/S/03838/A</t>
  </si>
  <si>
    <t>ISDF0A126USD2894</t>
  </si>
  <si>
    <t>26/S/03905/A</t>
  </si>
  <si>
    <t>ISDF0A126USD2892</t>
  </si>
  <si>
    <t>OYAL</t>
  </si>
  <si>
    <t>26/S/04068/A</t>
  </si>
  <si>
    <t>ISDF0A126USD2887</t>
  </si>
  <si>
    <t>COFCO RESOURCES SA</t>
  </si>
  <si>
    <t>FORTUNE</t>
  </si>
  <si>
    <t>SC-31857-CH</t>
  </si>
  <si>
    <t>JULY/AUGUST</t>
  </si>
  <si>
    <t>ISDF0A126USD2885</t>
  </si>
  <si>
    <t>MT Ardmore Chinook</t>
  </si>
  <si>
    <t>05-08-2026 ARGENTINA</t>
  </si>
  <si>
    <t>INDUSTRIAL TECNICA PECUARIA</t>
  </si>
  <si>
    <t>DR NITESH</t>
  </si>
  <si>
    <t>FUNGICAP N</t>
  </si>
  <si>
    <t>CIF BRJ</t>
  </si>
  <si>
    <t>IUDF0A126USD3133</t>
  </si>
  <si>
    <t>MEDUOI590011</t>
  </si>
  <si>
    <t>25-09-2026 KOLKATA</t>
  </si>
  <si>
    <t>OXICAP E2</t>
  </si>
  <si>
    <t>BAF PREMIKS VE TARIM SAN.</t>
  </si>
  <si>
    <t>MR.BURAK</t>
  </si>
  <si>
    <t>KEYTOX ULTRA</t>
  </si>
  <si>
    <t>202605251-NP</t>
  </si>
  <si>
    <t>CIF BIRGUNJ</t>
  </si>
  <si>
    <t>IUDF0A126USD3132</t>
  </si>
  <si>
    <t>MEDUY5025638</t>
  </si>
  <si>
    <t>25-10-2026 KOLKATA</t>
  </si>
  <si>
    <t>KEYTOX SELECT</t>
  </si>
  <si>
    <t>GREENYEAST</t>
  </si>
  <si>
    <t>SONARGAON SEEDS CRUSHING MILLS LTD</t>
  </si>
  <si>
    <t>PRODEEP</t>
  </si>
  <si>
    <t>SSCML/233/2026</t>
  </si>
  <si>
    <t>CPT BANGLABANDH</t>
  </si>
  <si>
    <t>006IMFLC2261713</t>
  </si>
  <si>
    <t>KBL</t>
  </si>
  <si>
    <t>PO/BLANKET OK</t>
  </si>
  <si>
    <t>TATA STEEL LIMITED</t>
  </si>
  <si>
    <t>TINPLATE</t>
  </si>
  <si>
    <t>TSL/ETP/PBT/26-27/01</t>
  </si>
  <si>
    <t>FCA JAMSHEDPUR</t>
  </si>
  <si>
    <t>AUGUSt/sept</t>
  </si>
  <si>
    <t>HBDUI09830045</t>
  </si>
  <si>
    <t>SSCML/144/2026</t>
  </si>
  <si>
    <t>006IMFLC261748</t>
  </si>
  <si>
    <t>SSCML/250/2026</t>
  </si>
  <si>
    <t>E002SU0080</t>
  </si>
  <si>
    <t>Tracking</t>
  </si>
  <si>
    <t>enable</t>
  </si>
  <si>
    <t>disable</t>
  </si>
  <si>
    <t>Locsl trsndport nsmr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</si>
</sst>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_ * #,##0.0_ ;_ * \-#,##0.0_ ;_ * &quot;-&quot;?_ ;_ 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sz val="9.5"/>
      <name val="Aptos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mbria"/>
      <family val="1"/>
    </font>
    <font>
      <sz val="12"/>
      <color theme="1"/>
      <name val="Inte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3A4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1" applyNumberFormat="1" applyFont="1" applyFill="1" applyBorder="1" applyAlignment="1"/>
    <xf numFmtId="165" fontId="3" fillId="2" borderId="0" xfId="0" applyNumberFormat="1" applyFont="1" applyFill="1"/>
    <xf numFmtId="166" fontId="3" fillId="2" borderId="0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2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6" fontId="5" fillId="4" borderId="1" xfId="1" applyNumberFormat="1" applyFont="1" applyFill="1" applyBorder="1" applyAlignment="1"/>
    <xf numFmtId="0" fontId="5" fillId="4" borderId="1" xfId="0" applyFont="1" applyFill="1" applyBorder="1" applyAlignment="1">
      <alignment horizontal="left" wrapText="1"/>
    </xf>
    <xf numFmtId="0" fontId="5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2" borderId="1" xfId="1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66" fontId="3" fillId="2" borderId="1" xfId="0" applyNumberFormat="1" applyFont="1" applyFill="1" applyBorder="1"/>
    <xf numFmtId="167" fontId="3" fillId="2" borderId="1" xfId="0" applyNumberFormat="1" applyFont="1" applyFill="1" applyBorder="1"/>
    <xf numFmtId="166" fontId="3" fillId="2" borderId="1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vertical="center"/>
    </xf>
    <xf numFmtId="166" fontId="3" fillId="2" borderId="0" xfId="1" applyNumberFormat="1" applyFont="1" applyFill="1"/>
    <xf numFmtId="165" fontId="3" fillId="2" borderId="1" xfId="1" applyNumberFormat="1" applyFont="1" applyFill="1" applyBorder="1"/>
    <xf numFmtId="0" fontId="9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5" fontId="1" fillId="2" borderId="1" xfId="1" applyNumberFormat="1" applyFont="1" applyFill="1" applyBorder="1"/>
    <xf numFmtId="0" fontId="10" fillId="0" borderId="0" xfId="0" applyFont="1" applyAlignment="1">
      <alignment horizontal="right" vertical="center"/>
    </xf>
    <xf numFmtId="14" fontId="2" fillId="2" borderId="1" xfId="0" applyNumberFormat="1" applyFont="1" applyFill="1" applyBorder="1" applyAlignment="1">
      <alignment horizontal="left"/>
    </xf>
    <xf numFmtId="0" fontId="11" fillId="2" borderId="0" xfId="0" applyFont="1" applyFill="1"/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12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1" xfId="1" applyNumberFormat="1" applyFont="1" applyFill="1" applyBorder="1" applyAlignment="1">
      <alignment horizontal="right"/>
    </xf>
    <xf numFmtId="0" fontId="3" fillId="2" borderId="1" xfId="1" applyNumberFormat="1" applyFont="1" applyFill="1" applyBorder="1" applyAlignment="1"/>
    <xf numFmtId="165" fontId="3" fillId="2" borderId="1" xfId="0" applyNumberFormat="1" applyFont="1" applyFill="1" applyBorder="1"/>
    <xf numFmtId="0" fontId="6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1" xfId="1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/>
    <xf numFmtId="166" fontId="3" fillId="3" borderId="1" xfId="1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8" fillId="3" borderId="0" xfId="0" applyFont="1" applyFill="1" applyAlignment="1">
      <alignment vertical="center"/>
    </xf>
    <xf numFmtId="0" fontId="3" fillId="3" borderId="0" xfId="0" applyFont="1" applyFill="1"/>
    <xf numFmtId="0" fontId="13" fillId="2" borderId="1" xfId="0" applyFont="1" applyFill="1" applyBorder="1"/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right"/>
    </xf>
    <xf numFmtId="0" fontId="18" fillId="2" borderId="1" xfId="0" applyFont="1" applyFill="1" applyBorder="1" applyAlignment="1">
      <alignment horizontal="left"/>
    </xf>
    <xf numFmtId="0" fontId="3" fillId="2" borderId="2" xfId="1" applyNumberFormat="1" applyFont="1" applyFill="1" applyBorder="1" applyAlignme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vertical="center" wrapText="1"/>
    </xf>
    <xf numFmtId="166" fontId="0" fillId="0" borderId="1" xfId="1" applyNumberFormat="1" applyFont="1" applyBorder="1"/>
    <xf numFmtId="166" fontId="0" fillId="0" borderId="0" xfId="1" applyNumberFormat="1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9" fillId="2" borderId="1" xfId="0" applyFont="1" applyFill="1" applyBorder="1" applyAlignment="1">
      <alignment horizontal="right"/>
    </xf>
    <xf numFmtId="0" fontId="20" fillId="2" borderId="1" xfId="0" quotePrefix="1" applyFont="1" applyFill="1" applyBorder="1" applyAlignment="1">
      <alignment horizontal="left" vertical="center"/>
    </xf>
    <xf numFmtId="0" fontId="12" fillId="2" borderId="0" xfId="0" applyFont="1" applyFill="1"/>
    <xf numFmtId="0" fontId="0" fillId="2" borderId="0" xfId="0" applyFill="1"/>
    <xf numFmtId="0" fontId="0" fillId="2" borderId="1" xfId="0" quotePrefix="1" applyFill="1" applyBorder="1" applyAlignment="1">
      <alignment horizontal="left"/>
    </xf>
    <xf numFmtId="0" fontId="19" fillId="2" borderId="1" xfId="0" quotePrefix="1" applyFont="1" applyFill="1" applyBorder="1" applyAlignment="1">
      <alignment horizontal="right" vertical="center"/>
    </xf>
    <xf numFmtId="0" fontId="19" fillId="2" borderId="1" xfId="0" quotePrefix="1" applyFont="1" applyFill="1" applyBorder="1" applyAlignment="1">
      <alignment horizontal="left" vertical="center"/>
    </xf>
    <xf numFmtId="166" fontId="3" fillId="3" borderId="1" xfId="0" applyNumberFormat="1" applyFont="1" applyFill="1" applyBorder="1"/>
    <xf numFmtId="0" fontId="7" fillId="2" borderId="1" xfId="0" quotePrefix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4" fontId="5" fillId="2" borderId="0" xfId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0" xfId="0" applyFont="1" applyFill="1" applyBorder="1"/>
    <xf numFmtId="0" fontId="8" fillId="3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3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DD70-30BA-49D6-A361-00B87319F35D}">
  <dimension ref="A1:BE30"/>
  <sheetViews>
    <sheetView tabSelected="1" topLeftCell="A2" zoomScale="69" workbookViewId="0">
      <selection activeCell="B11" sqref="B11"/>
    </sheetView>
  </sheetViews>
  <sheetFormatPr defaultRowHeight="14.4"/>
  <cols>
    <col min="1" max="1" width="3" bestFit="1" customWidth="1"/>
    <col min="2" max="2" width="47.33203125" customWidth="1"/>
    <col min="3" max="3" width="36" bestFit="1" customWidth="1"/>
    <col min="4" max="4" width="11.6640625" bestFit="1" customWidth="1"/>
    <col min="5" max="5" width="13.77734375" bestFit="1" customWidth="1"/>
    <col min="6" max="6" width="19.88671875" bestFit="1" customWidth="1"/>
    <col min="7" max="7" width="8" bestFit="1" customWidth="1"/>
    <col min="8" max="8" width="5.44140625" bestFit="1" customWidth="1"/>
    <col min="9" max="9" width="6.33203125" bestFit="1" customWidth="1"/>
    <col min="10" max="10" width="9" bestFit="1" customWidth="1"/>
    <col min="11" max="11" width="12.77734375" bestFit="1" customWidth="1"/>
    <col min="12" max="12" width="17.5546875" bestFit="1" customWidth="1"/>
    <col min="13" max="13" width="12.5546875" bestFit="1" customWidth="1"/>
    <col min="14" max="14" width="24.44140625" bestFit="1" customWidth="1"/>
    <col min="15" max="15" width="20.33203125" bestFit="1" customWidth="1"/>
    <col min="16" max="16" width="20.88671875" bestFit="1" customWidth="1"/>
    <col min="17" max="17" width="20.77734375" bestFit="1" customWidth="1"/>
    <col min="18" max="18" width="19.6640625" bestFit="1" customWidth="1"/>
    <col min="19" max="19" width="19.6640625" customWidth="1"/>
    <col min="20" max="20" width="13.44140625" bestFit="1" customWidth="1"/>
  </cols>
  <sheetData>
    <row r="1" spans="1:57" s="3" customFormat="1" ht="29.25" customHeight="1">
      <c r="A1" s="1"/>
      <c r="B1" s="1"/>
      <c r="C1" s="2" t="s">
        <v>0</v>
      </c>
      <c r="F1" s="4"/>
      <c r="H1" s="1"/>
      <c r="I1" s="5"/>
      <c r="J1" s="6"/>
      <c r="K1" s="6"/>
      <c r="L1" s="7"/>
      <c r="N1" s="4"/>
      <c r="O1" s="4"/>
    </row>
    <row r="2" spans="1:57" s="3" customFormat="1">
      <c r="A2" s="8" t="s">
        <v>1</v>
      </c>
      <c r="B2" s="8"/>
      <c r="C2" s="9" t="s">
        <v>2</v>
      </c>
      <c r="D2" s="9" t="s">
        <v>3</v>
      </c>
      <c r="E2" s="8" t="s">
        <v>4</v>
      </c>
      <c r="F2" s="8" t="s">
        <v>5</v>
      </c>
      <c r="G2" s="10" t="s">
        <v>6</v>
      </c>
      <c r="H2" s="10" t="s">
        <v>7</v>
      </c>
      <c r="I2" s="11" t="s">
        <v>8</v>
      </c>
      <c r="J2" s="8" t="s">
        <v>9</v>
      </c>
      <c r="K2" s="12" t="s">
        <v>10</v>
      </c>
      <c r="L2" s="12" t="s">
        <v>11</v>
      </c>
      <c r="M2" s="12" t="s">
        <v>12</v>
      </c>
      <c r="N2" s="13" t="s">
        <v>13</v>
      </c>
      <c r="O2" s="9" t="s">
        <v>14</v>
      </c>
      <c r="P2" s="9" t="s">
        <v>15</v>
      </c>
      <c r="Q2" s="9" t="s">
        <v>16</v>
      </c>
      <c r="R2" s="9"/>
      <c r="S2" s="88" t="s">
        <v>126</v>
      </c>
      <c r="T2" s="14" t="s">
        <v>123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</row>
    <row r="3" spans="1:57" s="3" customFormat="1" ht="17.399999999999999">
      <c r="A3" s="15">
        <v>1</v>
      </c>
      <c r="B3" s="15"/>
      <c r="C3" s="16" t="s">
        <v>17</v>
      </c>
      <c r="D3" s="17" t="s">
        <v>18</v>
      </c>
      <c r="E3" s="18" t="s">
        <v>19</v>
      </c>
      <c r="F3" s="16" t="s">
        <v>20</v>
      </c>
      <c r="G3" s="19">
        <v>311.82</v>
      </c>
      <c r="H3" s="20">
        <v>5</v>
      </c>
      <c r="I3" s="21">
        <v>717</v>
      </c>
      <c r="J3" s="22">
        <f>G3*I3</f>
        <v>223574.94</v>
      </c>
      <c r="K3" s="23" t="s">
        <v>21</v>
      </c>
      <c r="L3" s="24">
        <v>14</v>
      </c>
      <c r="M3" s="25" t="s">
        <v>22</v>
      </c>
      <c r="N3" s="26" t="s">
        <v>23</v>
      </c>
      <c r="O3" s="27">
        <v>270383678</v>
      </c>
      <c r="P3" s="28" t="s">
        <v>24</v>
      </c>
      <c r="Q3" s="16" t="s">
        <v>25</v>
      </c>
      <c r="R3" s="29" t="s">
        <v>26</v>
      </c>
      <c r="S3" s="89"/>
      <c r="T3" s="14" t="s">
        <v>124</v>
      </c>
      <c r="U3" s="14"/>
      <c r="V3" s="14"/>
      <c r="W3" s="14"/>
      <c r="X3" s="30"/>
      <c r="Y3" s="30"/>
      <c r="Z3" s="30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57" s="3" customFormat="1" ht="16.8">
      <c r="A4" s="15">
        <v>2</v>
      </c>
      <c r="B4" s="15"/>
      <c r="C4" s="25" t="s">
        <v>27</v>
      </c>
      <c r="D4" s="18" t="s">
        <v>28</v>
      </c>
      <c r="E4" s="18" t="s">
        <v>19</v>
      </c>
      <c r="F4" s="16">
        <v>72740</v>
      </c>
      <c r="G4" s="21">
        <v>310.12</v>
      </c>
      <c r="H4" s="15">
        <v>10</v>
      </c>
      <c r="I4" s="25">
        <v>705</v>
      </c>
      <c r="J4" s="31">
        <f>G4*I4</f>
        <v>218634.6</v>
      </c>
      <c r="K4" s="23" t="s">
        <v>21</v>
      </c>
      <c r="L4" s="24"/>
      <c r="M4" s="25" t="s">
        <v>29</v>
      </c>
      <c r="N4" s="32" t="s">
        <v>30</v>
      </c>
      <c r="O4" s="32" t="s">
        <v>31</v>
      </c>
      <c r="P4" s="21" t="s">
        <v>32</v>
      </c>
      <c r="Q4" s="16" t="s">
        <v>33</v>
      </c>
      <c r="R4" s="29" t="s">
        <v>26</v>
      </c>
      <c r="S4" s="89"/>
      <c r="T4" s="3" t="s">
        <v>125</v>
      </c>
    </row>
    <row r="5" spans="1:57" s="3" customFormat="1" ht="29.25" customHeight="1">
      <c r="A5" s="15">
        <v>5</v>
      </c>
      <c r="B5" s="15"/>
      <c r="C5" s="25" t="s">
        <v>34</v>
      </c>
      <c r="D5" s="25" t="s">
        <v>28</v>
      </c>
      <c r="E5" s="18" t="s">
        <v>19</v>
      </c>
      <c r="F5" s="16" t="s">
        <v>35</v>
      </c>
      <c r="G5" s="33">
        <v>312</v>
      </c>
      <c r="H5" s="15">
        <v>10</v>
      </c>
      <c r="I5" s="34">
        <v>727</v>
      </c>
      <c r="J5" s="22">
        <f>G5*I5</f>
        <v>226824</v>
      </c>
      <c r="K5" s="23" t="s">
        <v>21</v>
      </c>
      <c r="L5" s="23"/>
      <c r="M5" s="21"/>
      <c r="N5" s="35" t="s">
        <v>36</v>
      </c>
      <c r="O5" s="16"/>
      <c r="P5" s="36"/>
      <c r="V5" s="37"/>
      <c r="W5" s="37"/>
    </row>
    <row r="6" spans="1:57" s="3" customFormat="1" ht="16.8">
      <c r="A6" s="15">
        <v>11</v>
      </c>
      <c r="B6" s="15"/>
      <c r="C6" s="38" t="s">
        <v>37</v>
      </c>
      <c r="D6" s="25" t="s">
        <v>18</v>
      </c>
      <c r="E6" s="25" t="s">
        <v>38</v>
      </c>
      <c r="F6" s="16">
        <v>26051303</v>
      </c>
      <c r="G6" s="19">
        <v>260.7</v>
      </c>
      <c r="H6" s="15">
        <v>10</v>
      </c>
      <c r="I6" s="25">
        <v>617</v>
      </c>
      <c r="J6" s="39">
        <f>I6*G6</f>
        <v>160851.9</v>
      </c>
      <c r="K6" s="23" t="s">
        <v>21</v>
      </c>
      <c r="L6" s="24">
        <v>14</v>
      </c>
      <c r="M6" s="25" t="s">
        <v>39</v>
      </c>
      <c r="N6" s="40" t="s">
        <v>40</v>
      </c>
      <c r="O6" s="21">
        <v>274708921</v>
      </c>
      <c r="P6" s="28" t="s">
        <v>24</v>
      </c>
      <c r="Q6" s="41" t="s">
        <v>41</v>
      </c>
      <c r="R6" s="42"/>
      <c r="S6" s="90"/>
      <c r="T6" s="43"/>
    </row>
    <row r="7" spans="1:57" s="3" customFormat="1" ht="16.8">
      <c r="A7" s="15">
        <v>11</v>
      </c>
      <c r="B7" s="15"/>
      <c r="C7" s="38" t="s">
        <v>37</v>
      </c>
      <c r="D7" s="25" t="s">
        <v>18</v>
      </c>
      <c r="E7" s="25" t="s">
        <v>38</v>
      </c>
      <c r="F7" s="16">
        <v>26051303</v>
      </c>
      <c r="G7" s="44">
        <v>260.99</v>
      </c>
      <c r="H7" s="15">
        <v>10</v>
      </c>
      <c r="I7" s="25">
        <v>617</v>
      </c>
      <c r="J7" s="39">
        <f>I7*G7</f>
        <v>161030.83000000002</v>
      </c>
      <c r="K7" s="23" t="s">
        <v>21</v>
      </c>
      <c r="L7" s="24">
        <v>14</v>
      </c>
      <c r="M7" s="25" t="s">
        <v>39</v>
      </c>
      <c r="N7" s="40" t="s">
        <v>40</v>
      </c>
      <c r="O7" s="21">
        <v>272557521</v>
      </c>
      <c r="P7" s="28" t="s">
        <v>24</v>
      </c>
      <c r="Q7" s="41" t="s">
        <v>41</v>
      </c>
      <c r="R7" s="42"/>
      <c r="S7" s="90"/>
      <c r="T7" s="43"/>
    </row>
    <row r="8" spans="1:57" s="3" customFormat="1" ht="29.25" customHeight="1">
      <c r="A8" s="15">
        <v>12</v>
      </c>
      <c r="B8" s="15"/>
      <c r="C8" s="25" t="s">
        <v>42</v>
      </c>
      <c r="D8" s="25" t="s">
        <v>43</v>
      </c>
      <c r="E8" s="25" t="s">
        <v>38</v>
      </c>
      <c r="F8" s="16" t="s">
        <v>44</v>
      </c>
      <c r="G8" s="25">
        <v>512.55799999999999</v>
      </c>
      <c r="H8" s="15">
        <v>10</v>
      </c>
      <c r="I8" s="45">
        <v>602</v>
      </c>
      <c r="J8" s="46">
        <f>G8*I8</f>
        <v>308559.91599999997</v>
      </c>
      <c r="K8" s="23" t="s">
        <v>21</v>
      </c>
      <c r="L8" s="24">
        <v>14</v>
      </c>
      <c r="M8" s="25" t="s">
        <v>39</v>
      </c>
      <c r="N8" s="47" t="s">
        <v>45</v>
      </c>
      <c r="O8" s="47">
        <v>274146535</v>
      </c>
      <c r="P8" s="28" t="s">
        <v>24</v>
      </c>
      <c r="Q8" s="41" t="s">
        <v>46</v>
      </c>
      <c r="R8" s="42" t="s">
        <v>26</v>
      </c>
      <c r="S8" s="90"/>
      <c r="T8" s="43"/>
    </row>
    <row r="9" spans="1:57" s="57" customFormat="1" ht="16.8">
      <c r="A9" s="20">
        <v>14</v>
      </c>
      <c r="B9" s="20"/>
      <c r="C9" s="48" t="s">
        <v>37</v>
      </c>
      <c r="D9" s="18" t="s">
        <v>18</v>
      </c>
      <c r="E9" s="18" t="s">
        <v>38</v>
      </c>
      <c r="F9" s="49">
        <v>26061704</v>
      </c>
      <c r="G9" s="50">
        <v>486.38</v>
      </c>
      <c r="H9" s="20">
        <v>10</v>
      </c>
      <c r="I9" s="18">
        <v>585</v>
      </c>
      <c r="J9" s="51">
        <f>I9*G9</f>
        <v>284532.3</v>
      </c>
      <c r="K9" s="52" t="s">
        <v>21</v>
      </c>
      <c r="L9" s="53">
        <v>14</v>
      </c>
      <c r="M9" s="18" t="s">
        <v>39</v>
      </c>
      <c r="N9" s="54" t="s">
        <v>47</v>
      </c>
      <c r="O9" s="33">
        <v>260616918</v>
      </c>
      <c r="P9" s="33" t="s">
        <v>48</v>
      </c>
      <c r="Q9" s="55" t="s">
        <v>49</v>
      </c>
      <c r="R9" s="29" t="s">
        <v>26</v>
      </c>
      <c r="S9" s="89"/>
      <c r="T9" s="56"/>
    </row>
    <row r="10" spans="1:57" s="3" customFormat="1" ht="15.6">
      <c r="A10" s="15">
        <v>9</v>
      </c>
      <c r="B10" s="15"/>
      <c r="C10" s="38" t="s">
        <v>37</v>
      </c>
      <c r="D10" s="25" t="s">
        <v>18</v>
      </c>
      <c r="E10" s="25" t="s">
        <v>50</v>
      </c>
      <c r="F10" s="16">
        <v>26013102</v>
      </c>
      <c r="G10" s="19">
        <v>338.04700000000003</v>
      </c>
      <c r="H10" s="15">
        <v>10</v>
      </c>
      <c r="I10" s="25">
        <v>469</v>
      </c>
      <c r="J10" s="39">
        <f>I10*G10</f>
        <v>158544.04300000001</v>
      </c>
      <c r="K10" s="25" t="s">
        <v>51</v>
      </c>
      <c r="L10" s="24">
        <v>14</v>
      </c>
      <c r="M10" s="25" t="s">
        <v>39</v>
      </c>
      <c r="N10" s="27" t="s">
        <v>52</v>
      </c>
      <c r="O10" s="27">
        <v>271560680</v>
      </c>
      <c r="P10" s="28" t="s">
        <v>24</v>
      </c>
      <c r="Q10" s="58" t="s">
        <v>53</v>
      </c>
      <c r="R10" s="42" t="s">
        <v>54</v>
      </c>
      <c r="S10" s="90"/>
      <c r="T10" s="43"/>
    </row>
    <row r="11" spans="1:57" s="3" customFormat="1" ht="15.6">
      <c r="A11" s="15">
        <v>10</v>
      </c>
      <c r="B11" s="15"/>
      <c r="C11" s="38" t="s">
        <v>37</v>
      </c>
      <c r="D11" s="25" t="s">
        <v>18</v>
      </c>
      <c r="E11" s="25" t="s">
        <v>50</v>
      </c>
      <c r="F11" s="16">
        <v>26013102.100000001</v>
      </c>
      <c r="G11" s="19">
        <v>181.011</v>
      </c>
      <c r="H11" s="15">
        <v>10</v>
      </c>
      <c r="I11" s="25">
        <v>469</v>
      </c>
      <c r="J11" s="39">
        <f>I11*G11</f>
        <v>84894.159</v>
      </c>
      <c r="K11" s="25" t="s">
        <v>51</v>
      </c>
      <c r="L11" s="24">
        <v>14</v>
      </c>
      <c r="M11" s="25" t="s">
        <v>39</v>
      </c>
      <c r="N11" s="27" t="s">
        <v>52</v>
      </c>
      <c r="O11" s="27">
        <v>274031020</v>
      </c>
      <c r="P11" s="28" t="s">
        <v>24</v>
      </c>
      <c r="Q11" s="41" t="s">
        <v>55</v>
      </c>
      <c r="R11" s="42" t="s">
        <v>54</v>
      </c>
      <c r="S11" s="90"/>
      <c r="T11" s="43"/>
    </row>
    <row r="12" spans="1:57" s="3" customFormat="1" ht="29.25" customHeight="1">
      <c r="A12" s="15">
        <v>23</v>
      </c>
      <c r="B12" s="15"/>
      <c r="C12" s="25" t="s">
        <v>56</v>
      </c>
      <c r="D12" s="25" t="s">
        <v>57</v>
      </c>
      <c r="E12" s="25" t="s">
        <v>58</v>
      </c>
      <c r="F12" s="16" t="s">
        <v>59</v>
      </c>
      <c r="G12" s="25">
        <v>245</v>
      </c>
      <c r="H12" s="15">
        <v>2</v>
      </c>
      <c r="I12" s="45">
        <v>1095</v>
      </c>
      <c r="J12" s="46">
        <f>G12*I12</f>
        <v>268275</v>
      </c>
      <c r="K12" s="23" t="s">
        <v>60</v>
      </c>
      <c r="L12" s="24"/>
      <c r="M12" s="25" t="s">
        <v>61</v>
      </c>
      <c r="N12" s="59" t="s">
        <v>62</v>
      </c>
      <c r="O12" s="60"/>
      <c r="P12" s="61" t="s">
        <v>63</v>
      </c>
      <c r="Q12" s="17" t="s">
        <v>64</v>
      </c>
      <c r="R12" s="62" t="s">
        <v>65</v>
      </c>
      <c r="S12" s="62"/>
      <c r="T12" s="63"/>
      <c r="U12" s="63"/>
      <c r="V12" s="63"/>
    </row>
    <row r="13" spans="1:57" s="3" customFormat="1" ht="29.25" customHeight="1">
      <c r="A13" s="15">
        <v>2</v>
      </c>
      <c r="B13" s="15"/>
      <c r="C13" s="25" t="s">
        <v>56</v>
      </c>
      <c r="D13" s="25" t="s">
        <v>66</v>
      </c>
      <c r="E13" s="25" t="s">
        <v>58</v>
      </c>
      <c r="F13" s="16" t="s">
        <v>67</v>
      </c>
      <c r="G13" s="18">
        <v>255</v>
      </c>
      <c r="H13" s="15">
        <v>2</v>
      </c>
      <c r="I13" s="45">
        <v>1332</v>
      </c>
      <c r="J13" s="46">
        <f t="shared" ref="J13:J26" si="0">G13*I13</f>
        <v>339660</v>
      </c>
      <c r="K13" s="23" t="s">
        <v>60</v>
      </c>
      <c r="L13" s="24"/>
      <c r="M13" s="25" t="s">
        <v>61</v>
      </c>
      <c r="N13" s="64" t="s">
        <v>68</v>
      </c>
      <c r="O13" s="60"/>
      <c r="P13" s="61" t="s">
        <v>63</v>
      </c>
      <c r="Q13" s="3" t="s">
        <v>69</v>
      </c>
    </row>
    <row r="14" spans="1:57" s="3" customFormat="1" ht="29.25" customHeight="1">
      <c r="A14" s="15">
        <v>3</v>
      </c>
      <c r="B14" s="15"/>
      <c r="C14" s="25" t="s">
        <v>56</v>
      </c>
      <c r="D14" s="25" t="s">
        <v>66</v>
      </c>
      <c r="E14" s="25" t="s">
        <v>58</v>
      </c>
      <c r="F14" s="65" t="s">
        <v>70</v>
      </c>
      <c r="G14" s="25">
        <v>381</v>
      </c>
      <c r="H14" s="15">
        <v>2</v>
      </c>
      <c r="I14" s="45">
        <v>1285</v>
      </c>
      <c r="J14" s="46">
        <f t="shared" si="0"/>
        <v>489585</v>
      </c>
      <c r="K14" s="23" t="s">
        <v>60</v>
      </c>
      <c r="L14" s="24"/>
      <c r="M14" s="25" t="s">
        <v>61</v>
      </c>
      <c r="N14" s="64" t="s">
        <v>71</v>
      </c>
      <c r="O14" s="60"/>
      <c r="P14" s="61" t="s">
        <v>63</v>
      </c>
      <c r="Q14" s="3" t="s">
        <v>72</v>
      </c>
    </row>
    <row r="15" spans="1:57" s="3" customFormat="1" ht="29.25" customHeight="1">
      <c r="A15" s="15">
        <v>3</v>
      </c>
      <c r="B15" s="15"/>
      <c r="C15" s="25" t="s">
        <v>56</v>
      </c>
      <c r="D15" s="25" t="s">
        <v>66</v>
      </c>
      <c r="E15" s="25" t="s">
        <v>58</v>
      </c>
      <c r="F15" s="65" t="s">
        <v>70</v>
      </c>
      <c r="G15" s="25"/>
      <c r="H15" s="15">
        <v>2</v>
      </c>
      <c r="I15" s="45">
        <v>1285</v>
      </c>
      <c r="J15" s="46">
        <f t="shared" si="0"/>
        <v>0</v>
      </c>
      <c r="K15" s="23" t="s">
        <v>60</v>
      </c>
      <c r="L15" s="24"/>
      <c r="M15" s="25" t="s">
        <v>61</v>
      </c>
      <c r="N15" s="64" t="s">
        <v>71</v>
      </c>
      <c r="O15" s="60"/>
      <c r="P15" s="61" t="s">
        <v>73</v>
      </c>
      <c r="Q15" s="3" t="s">
        <v>72</v>
      </c>
    </row>
    <row r="16" spans="1:57" s="3" customFormat="1" ht="29.25" customHeight="1">
      <c r="A16" s="15">
        <v>4</v>
      </c>
      <c r="B16" s="15"/>
      <c r="C16" s="25" t="s">
        <v>56</v>
      </c>
      <c r="D16" s="25" t="s">
        <v>66</v>
      </c>
      <c r="E16" s="25" t="s">
        <v>58</v>
      </c>
      <c r="F16" s="16" t="s">
        <v>74</v>
      </c>
      <c r="G16" s="18">
        <v>510</v>
      </c>
      <c r="H16" s="15">
        <v>2</v>
      </c>
      <c r="I16" s="45">
        <v>1319</v>
      </c>
      <c r="J16" s="46">
        <f t="shared" si="0"/>
        <v>672690</v>
      </c>
      <c r="K16" s="23" t="s">
        <v>60</v>
      </c>
      <c r="L16" s="24"/>
      <c r="M16" s="25" t="s">
        <v>61</v>
      </c>
      <c r="N16" s="64" t="s">
        <v>75</v>
      </c>
      <c r="O16" s="60"/>
      <c r="P16" s="61" t="s">
        <v>63</v>
      </c>
      <c r="Q16" s="3" t="s">
        <v>69</v>
      </c>
    </row>
    <row r="17" spans="1:57" s="3" customFormat="1" ht="29.25" customHeight="1">
      <c r="A17" s="15">
        <v>5</v>
      </c>
      <c r="B17" s="15"/>
      <c r="C17" s="25" t="s">
        <v>56</v>
      </c>
      <c r="D17" s="25" t="s">
        <v>66</v>
      </c>
      <c r="E17" s="25" t="s">
        <v>58</v>
      </c>
      <c r="F17" s="16" t="s">
        <v>76</v>
      </c>
      <c r="G17" s="18">
        <v>510</v>
      </c>
      <c r="H17" s="15">
        <v>2</v>
      </c>
      <c r="I17" s="45">
        <v>1300</v>
      </c>
      <c r="J17" s="46">
        <f t="shared" si="0"/>
        <v>663000</v>
      </c>
      <c r="K17" s="23" t="s">
        <v>60</v>
      </c>
      <c r="L17" s="24"/>
      <c r="M17" s="25" t="s">
        <v>61</v>
      </c>
      <c r="N17" s="64" t="s">
        <v>77</v>
      </c>
      <c r="O17" s="60"/>
      <c r="P17" s="61" t="s">
        <v>63</v>
      </c>
      <c r="Q17" s="3" t="s">
        <v>69</v>
      </c>
    </row>
    <row r="18" spans="1:57" s="3" customFormat="1" ht="29.25" customHeight="1">
      <c r="A18" s="15">
        <v>6</v>
      </c>
      <c r="B18" s="15"/>
      <c r="C18" s="25" t="s">
        <v>56</v>
      </c>
      <c r="D18" s="25" t="s">
        <v>78</v>
      </c>
      <c r="E18" s="25" t="s">
        <v>58</v>
      </c>
      <c r="F18" s="16" t="s">
        <v>79</v>
      </c>
      <c r="G18" s="25">
        <v>500</v>
      </c>
      <c r="H18" s="15">
        <v>2</v>
      </c>
      <c r="I18" s="45">
        <v>1274</v>
      </c>
      <c r="J18" s="46">
        <f t="shared" si="0"/>
        <v>637000</v>
      </c>
      <c r="K18" s="23" t="s">
        <v>60</v>
      </c>
      <c r="L18" s="24"/>
      <c r="M18" s="25" t="s">
        <v>61</v>
      </c>
      <c r="N18" s="64" t="s">
        <v>80</v>
      </c>
      <c r="O18" s="60"/>
      <c r="P18" s="61"/>
      <c r="Q18" s="3" t="s">
        <v>72</v>
      </c>
    </row>
    <row r="19" spans="1:57" s="3" customFormat="1" ht="29.25" customHeight="1">
      <c r="A19" s="15">
        <v>6</v>
      </c>
      <c r="B19" s="15"/>
      <c r="C19" s="25" t="s">
        <v>56</v>
      </c>
      <c r="D19" s="25" t="s">
        <v>78</v>
      </c>
      <c r="E19" s="25" t="s">
        <v>58</v>
      </c>
      <c r="F19" s="16" t="s">
        <v>79</v>
      </c>
      <c r="G19" s="25">
        <v>119</v>
      </c>
      <c r="H19" s="15">
        <v>2</v>
      </c>
      <c r="I19" s="45">
        <v>1274</v>
      </c>
      <c r="J19" s="46">
        <f t="shared" si="0"/>
        <v>151606</v>
      </c>
      <c r="K19" s="23" t="s">
        <v>60</v>
      </c>
      <c r="L19" s="24"/>
      <c r="M19" s="25" t="s">
        <v>61</v>
      </c>
      <c r="N19" s="64" t="s">
        <v>80</v>
      </c>
      <c r="O19" s="60"/>
      <c r="P19" s="61" t="s">
        <v>73</v>
      </c>
      <c r="Q19" s="3" t="s">
        <v>72</v>
      </c>
    </row>
    <row r="20" spans="1:57" s="3" customFormat="1" ht="29.25" customHeight="1">
      <c r="A20" s="15">
        <v>7</v>
      </c>
      <c r="B20" s="15"/>
      <c r="C20" s="25" t="s">
        <v>81</v>
      </c>
      <c r="D20" s="25" t="s">
        <v>82</v>
      </c>
      <c r="E20" s="25" t="s">
        <v>58</v>
      </c>
      <c r="F20" s="25" t="s">
        <v>83</v>
      </c>
      <c r="G20" s="25">
        <v>250</v>
      </c>
      <c r="H20" s="15">
        <v>2</v>
      </c>
      <c r="I20" s="66">
        <v>1263</v>
      </c>
      <c r="J20" s="46">
        <f t="shared" si="0"/>
        <v>315750</v>
      </c>
      <c r="K20" s="23" t="s">
        <v>60</v>
      </c>
      <c r="L20" s="24"/>
      <c r="M20" s="25" t="s">
        <v>84</v>
      </c>
      <c r="N20" s="64" t="s">
        <v>85</v>
      </c>
      <c r="O20" s="16"/>
      <c r="P20" s="21" t="s">
        <v>86</v>
      </c>
      <c r="Q20" s="3" t="s">
        <v>87</v>
      </c>
    </row>
    <row r="21" spans="1:57" s="3" customFormat="1">
      <c r="A21" s="15">
        <v>3</v>
      </c>
      <c r="B21" s="15"/>
      <c r="C21" s="16" t="s">
        <v>88</v>
      </c>
      <c r="D21" s="25" t="s">
        <v>89</v>
      </c>
      <c r="E21" s="25" t="s">
        <v>90</v>
      </c>
      <c r="F21" s="67">
        <v>46198</v>
      </c>
      <c r="G21" s="25">
        <v>20</v>
      </c>
      <c r="H21" s="21"/>
      <c r="I21" s="21">
        <v>1450</v>
      </c>
      <c r="J21" s="22">
        <f t="shared" si="0"/>
        <v>29000</v>
      </c>
      <c r="K21" s="25" t="s">
        <v>91</v>
      </c>
      <c r="L21" s="24"/>
      <c r="M21" s="25"/>
      <c r="N21" s="21" t="s">
        <v>92</v>
      </c>
      <c r="O21" s="21" t="s">
        <v>93</v>
      </c>
      <c r="P21" s="21" t="s">
        <v>32</v>
      </c>
      <c r="Q21" s="25"/>
      <c r="R21" s="25" t="s">
        <v>94</v>
      </c>
      <c r="S21" s="91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</row>
    <row r="22" spans="1:57" s="3" customFormat="1">
      <c r="A22" s="15"/>
      <c r="B22" s="15"/>
      <c r="C22" s="16" t="s">
        <v>88</v>
      </c>
      <c r="D22" s="25" t="s">
        <v>89</v>
      </c>
      <c r="E22" s="25" t="s">
        <v>95</v>
      </c>
      <c r="F22" s="67">
        <v>46198</v>
      </c>
      <c r="G22" s="25">
        <v>2</v>
      </c>
      <c r="H22" s="21"/>
      <c r="I22" s="21">
        <v>1350</v>
      </c>
      <c r="J22" s="22">
        <f t="shared" si="0"/>
        <v>2700</v>
      </c>
      <c r="K22" s="25" t="s">
        <v>91</v>
      </c>
      <c r="L22" s="24"/>
      <c r="M22" s="25"/>
      <c r="N22" s="21" t="s">
        <v>92</v>
      </c>
      <c r="O22" s="21" t="s">
        <v>93</v>
      </c>
      <c r="P22" s="21" t="s">
        <v>32</v>
      </c>
      <c r="Q22" s="25"/>
      <c r="R22" s="25" t="s">
        <v>94</v>
      </c>
      <c r="S22" s="91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1:57" s="3" customFormat="1">
      <c r="A23" s="86">
        <v>26</v>
      </c>
      <c r="B23" s="84"/>
      <c r="C23" s="87" t="s">
        <v>96</v>
      </c>
      <c r="D23" s="87" t="s">
        <v>97</v>
      </c>
      <c r="E23" s="25" t="s">
        <v>98</v>
      </c>
      <c r="F23" s="87" t="s">
        <v>99</v>
      </c>
      <c r="G23" s="24">
        <v>12</v>
      </c>
      <c r="H23" s="21"/>
      <c r="I23" s="21">
        <v>1210</v>
      </c>
      <c r="J23" s="22">
        <f t="shared" si="0"/>
        <v>14520</v>
      </c>
      <c r="K23" s="87" t="s">
        <v>100</v>
      </c>
      <c r="L23" s="16"/>
      <c r="M23" s="68"/>
      <c r="N23" s="85" t="s">
        <v>101</v>
      </c>
      <c r="O23" s="85" t="s">
        <v>102</v>
      </c>
      <c r="P23" s="21" t="s">
        <v>32</v>
      </c>
      <c r="Q23" s="69"/>
      <c r="R23" s="25" t="s">
        <v>103</v>
      </c>
      <c r="S23" s="91"/>
      <c r="T23" s="70" t="s">
        <v>26</v>
      </c>
      <c r="U23" s="70"/>
      <c r="V23" s="43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</row>
    <row r="24" spans="1:57" s="3" customFormat="1">
      <c r="A24" s="86"/>
      <c r="B24" s="84"/>
      <c r="C24" s="87"/>
      <c r="D24" s="87"/>
      <c r="E24" s="25" t="s">
        <v>104</v>
      </c>
      <c r="F24" s="87"/>
      <c r="G24" s="24">
        <v>6</v>
      </c>
      <c r="H24" s="21"/>
      <c r="I24" s="21">
        <v>2830</v>
      </c>
      <c r="J24" s="22">
        <f t="shared" si="0"/>
        <v>16980</v>
      </c>
      <c r="K24" s="87"/>
      <c r="L24" s="16"/>
      <c r="M24" s="68"/>
      <c r="N24" s="85"/>
      <c r="O24" s="85"/>
      <c r="P24" s="21" t="s">
        <v>32</v>
      </c>
      <c r="Q24" s="69"/>
      <c r="R24" s="25" t="s">
        <v>103</v>
      </c>
      <c r="S24" s="91"/>
      <c r="T24" s="70" t="s">
        <v>26</v>
      </c>
      <c r="U24" s="70"/>
      <c r="V24" s="43"/>
      <c r="W24" s="30"/>
      <c r="X24" s="30"/>
      <c r="Y24" s="30"/>
      <c r="Z24" s="3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</row>
    <row r="25" spans="1:57" s="3" customFormat="1">
      <c r="A25" s="86"/>
      <c r="B25" s="84"/>
      <c r="C25" s="87"/>
      <c r="D25" s="87"/>
      <c r="E25" s="25" t="s">
        <v>105</v>
      </c>
      <c r="F25" s="87"/>
      <c r="G25" s="24">
        <v>5</v>
      </c>
      <c r="H25" s="21"/>
      <c r="I25" s="21">
        <v>2620</v>
      </c>
      <c r="J25" s="22">
        <f t="shared" si="0"/>
        <v>13100</v>
      </c>
      <c r="K25" s="87"/>
      <c r="L25" s="16"/>
      <c r="M25" s="68"/>
      <c r="N25" s="85"/>
      <c r="O25" s="85"/>
      <c r="P25" s="21" t="s">
        <v>32</v>
      </c>
      <c r="Q25" s="69"/>
      <c r="R25" s="25" t="s">
        <v>103</v>
      </c>
      <c r="S25" s="91"/>
      <c r="T25" s="70" t="s">
        <v>26</v>
      </c>
      <c r="U25" s="70"/>
      <c r="V25" s="43"/>
      <c r="W25" s="30"/>
      <c r="X25" s="30"/>
      <c r="Y25" s="30"/>
      <c r="Z25" s="3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</row>
    <row r="26" spans="1:57" s="76" customFormat="1" ht="15.6">
      <c r="A26" s="15"/>
      <c r="B26" s="15"/>
      <c r="C26" s="71" t="s">
        <v>106</v>
      </c>
      <c r="D26" s="71" t="s">
        <v>107</v>
      </c>
      <c r="E26" s="25" t="s">
        <v>38</v>
      </c>
      <c r="F26" s="72" t="s">
        <v>108</v>
      </c>
      <c r="G26" s="21">
        <v>252</v>
      </c>
      <c r="H26" s="15">
        <v>5</v>
      </c>
      <c r="I26" s="34">
        <v>570</v>
      </c>
      <c r="J26" s="22">
        <f t="shared" si="0"/>
        <v>143640</v>
      </c>
      <c r="K26" s="46">
        <f>(J26*H26%+J26)*153</f>
        <v>23075766</v>
      </c>
      <c r="L26" s="72" t="s">
        <v>109</v>
      </c>
      <c r="M26" s="73"/>
      <c r="N26" s="71"/>
      <c r="O26" s="27" t="s">
        <v>110</v>
      </c>
      <c r="P26" s="74" t="s">
        <v>111</v>
      </c>
      <c r="Q26" s="3" t="s">
        <v>112</v>
      </c>
      <c r="R26" s="75"/>
      <c r="S26" s="75"/>
    </row>
    <row r="27" spans="1:57" s="76" customFormat="1" ht="15.6">
      <c r="A27" s="15">
        <v>15</v>
      </c>
      <c r="B27" s="15"/>
      <c r="C27" s="71" t="s">
        <v>113</v>
      </c>
      <c r="D27" s="71"/>
      <c r="E27" s="25" t="s">
        <v>114</v>
      </c>
      <c r="F27" s="77" t="s">
        <v>115</v>
      </c>
      <c r="G27" s="21">
        <f>29.567+34.886+39.179</f>
        <v>103.63200000000001</v>
      </c>
      <c r="H27" s="15">
        <v>10</v>
      </c>
      <c r="I27" s="34">
        <v>1024</v>
      </c>
      <c r="J27" s="22">
        <f>G27*I27</f>
        <v>106119.16800000001</v>
      </c>
      <c r="K27" s="46">
        <f>(J27*H27%+J27)*153</f>
        <v>17859855.974400003</v>
      </c>
      <c r="L27" t="s">
        <v>116</v>
      </c>
      <c r="M27" s="73"/>
      <c r="N27" s="16" t="s">
        <v>117</v>
      </c>
      <c r="O27" s="78" t="s">
        <v>118</v>
      </c>
      <c r="P27" s="79"/>
      <c r="Q27" s="3"/>
      <c r="R27" s="75"/>
      <c r="S27" s="75"/>
    </row>
    <row r="28" spans="1:57" s="76" customFormat="1" ht="15.6">
      <c r="A28" s="15"/>
      <c r="B28" s="15"/>
      <c r="C28" s="71" t="s">
        <v>106</v>
      </c>
      <c r="D28" s="71" t="s">
        <v>18</v>
      </c>
      <c r="E28" s="25" t="s">
        <v>38</v>
      </c>
      <c r="F28" s="72" t="s">
        <v>119</v>
      </c>
      <c r="G28" s="21">
        <v>252</v>
      </c>
      <c r="H28" s="15">
        <v>5</v>
      </c>
      <c r="I28" s="34">
        <v>590</v>
      </c>
      <c r="J28" s="22">
        <f>G28*I28</f>
        <v>148680</v>
      </c>
      <c r="K28" s="46">
        <f>(J28*H28%+J28)*153</f>
        <v>23885442</v>
      </c>
      <c r="L28" s="72" t="s">
        <v>109</v>
      </c>
      <c r="M28" s="73"/>
      <c r="N28" s="71"/>
      <c r="O28" s="27" t="s">
        <v>120</v>
      </c>
      <c r="P28" s="36"/>
      <c r="Q28" s="3"/>
      <c r="R28" s="75"/>
      <c r="S28" s="75"/>
    </row>
    <row r="29" spans="1:57" s="3" customFormat="1" ht="15.6">
      <c r="A29" s="15"/>
      <c r="B29" s="15"/>
      <c r="C29" s="25" t="s">
        <v>106</v>
      </c>
      <c r="D29" s="25" t="s">
        <v>18</v>
      </c>
      <c r="E29" s="25" t="s">
        <v>38</v>
      </c>
      <c r="F29" s="16" t="s">
        <v>121</v>
      </c>
      <c r="G29" s="21">
        <v>504</v>
      </c>
      <c r="H29" s="15">
        <v>5</v>
      </c>
      <c r="I29" s="31">
        <v>567</v>
      </c>
      <c r="J29" s="80">
        <f>G29*I29</f>
        <v>285768</v>
      </c>
      <c r="K29" s="46">
        <f>(J29*H29%+J29)*153</f>
        <v>45908629.200000003</v>
      </c>
      <c r="L29" s="16" t="s">
        <v>109</v>
      </c>
      <c r="M29" s="27"/>
      <c r="N29" s="25"/>
      <c r="O29" s="21" t="s">
        <v>122</v>
      </c>
      <c r="P29" s="81"/>
      <c r="R29" s="37"/>
      <c r="S29" s="37"/>
    </row>
    <row r="30" spans="1:57">
      <c r="E30" s="82"/>
      <c r="F30" s="1"/>
      <c r="G30" s="83"/>
      <c r="H30" s="1"/>
      <c r="I30" s="3"/>
      <c r="J30" s="3"/>
      <c r="K30" s="3"/>
      <c r="L30" s="3"/>
      <c r="M30" s="3"/>
      <c r="N30" s="3"/>
    </row>
  </sheetData>
  <mergeCells count="7">
    <mergeCell ref="O23:O25"/>
    <mergeCell ref="A23:A25"/>
    <mergeCell ref="C23:C25"/>
    <mergeCell ref="D23:D25"/>
    <mergeCell ref="F23:F25"/>
    <mergeCell ref="K23:K25"/>
    <mergeCell ref="N23:N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Khadka</dc:creator>
  <cp:lastModifiedBy>Shailesh Sharma</cp:lastModifiedBy>
  <dcterms:created xsi:type="dcterms:W3CDTF">2026-08-31T06:29:36Z</dcterms:created>
  <dcterms:modified xsi:type="dcterms:W3CDTF">2026-09-22T04:33:38Z</dcterms:modified>
</cp:coreProperties>
</file>