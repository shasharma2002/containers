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imbusnepal-my.sharepoint.com/personal/shailesh_sharma_nimbusnepal_com/Documents/Download/containers/"/>
    </mc:Choice>
  </mc:AlternateContent>
  <xr:revisionPtr revIDLastSave="0" documentId="8_{6A19F7DF-CF55-47B1-98F7-6446EC88868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078-79" sheetId="9" r:id="rId1"/>
    <sheet name="NICPL" sheetId="1" r:id="rId2"/>
    <sheet name="PROCHEM" sheetId="14" r:id="rId3"/>
    <sheet name="OIL TANKER" sheetId="13" r:id="rId4"/>
    <sheet name="PBT" sheetId="4" r:id="rId5"/>
    <sheet name="material reach 82-83" sheetId="12" r:id="rId6"/>
    <sheet name="material reach 79-80" sheetId="10" r:id="rId7"/>
    <sheet name="material reached 78-79" sheetId="3" r:id="rId8"/>
  </sheets>
  <definedNames>
    <definedName name="_xlnm._FilterDatabase" localSheetId="0" hidden="1">'078-79'!$A$1:$I$299</definedName>
    <definedName name="_xlnm._FilterDatabase" localSheetId="6" hidden="1">'material reach 79-80'!$A$2:$S$2</definedName>
    <definedName name="_xlnm._FilterDatabase" localSheetId="1" hidden="1">NICPL!$B$2:$R$2</definedName>
    <definedName name="_xlnm._FilterDatabase" localSheetId="4" hidden="1">PBT!$B$2:$R$2</definedName>
    <definedName name="JOBNO" localSheetId="1">'material reach 82-83'!$G$399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3" l="1"/>
  <c r="J5" i="13"/>
  <c r="J6" i="13"/>
  <c r="J7" i="13"/>
  <c r="J8" i="13"/>
  <c r="J9" i="13"/>
  <c r="J10" i="13"/>
  <c r="J11" i="13"/>
  <c r="J12" i="13"/>
  <c r="J13" i="13"/>
  <c r="J14" i="13"/>
  <c r="J15" i="13"/>
  <c r="J16" i="13"/>
  <c r="E17" i="13"/>
  <c r="E21" i="13" l="1"/>
  <c r="J36" i="13" l="1"/>
  <c r="J37" i="13"/>
  <c r="J38" i="13"/>
  <c r="J35" i="13"/>
  <c r="J25" i="13"/>
  <c r="J26" i="13"/>
  <c r="J27" i="13"/>
  <c r="J3" i="13"/>
  <c r="J17" i="13" s="1"/>
  <c r="J39" i="13" l="1"/>
  <c r="J269" i="12"/>
  <c r="J24" i="13" l="1"/>
  <c r="J28" i="13" s="1"/>
  <c r="I70" i="12" l="1"/>
  <c r="I152" i="10" l="1"/>
  <c r="H300" i="9" l="1"/>
  <c r="G300" i="9"/>
  <c r="G277" i="9"/>
  <c r="G274" i="9"/>
  <c r="G263" i="9"/>
  <c r="G261" i="9"/>
  <c r="I277" i="3" l="1"/>
  <c r="I274" i="3"/>
  <c r="I263" i="3"/>
  <c r="I26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Prabhat Shrestha</author>
  </authors>
  <commentList>
    <comment ref="C489" authorId="0" shapeId="0" xr:uid="{BFDD058D-056F-42DC-9433-F3D70C772BD3}">
      <text>
        <r>
          <rPr>
            <b/>
            <sz val="9"/>
            <color indexed="81"/>
            <rFont val="Tahoma"/>
            <charset val="1"/>
          </rPr>
          <t>Prabhat Shrestha:</t>
        </r>
        <r>
          <rPr>
            <sz val="9"/>
            <color indexed="81"/>
            <rFont val="Tahoma"/>
            <charset val="1"/>
          </rPr>
          <t xml:space="preserve">
Lc pending due to myanmar
</t>
        </r>
      </text>
    </comment>
  </commentList>
</comments>
</file>

<file path=xl/sharedStrings.xml><?xml version="1.0" encoding="utf-8"?>
<sst xmlns="http://schemas.openxmlformats.org/spreadsheetml/2006/main" count="18691" uniqueCount="6416">
  <si>
    <t>S.NO</t>
  </si>
  <si>
    <t>SUPPLIER</t>
  </si>
  <si>
    <t>LC NO</t>
  </si>
  <si>
    <t>LC DATE</t>
  </si>
  <si>
    <t>PI NO</t>
  </si>
  <si>
    <t>ORIGIN</t>
  </si>
  <si>
    <t>BL NO</t>
  </si>
  <si>
    <t>BL DATE</t>
  </si>
  <si>
    <t>Port of loading</t>
  </si>
  <si>
    <t>MATERIAL</t>
  </si>
  <si>
    <t>QTY (mt)</t>
  </si>
  <si>
    <t>No of cont</t>
  </si>
  <si>
    <t>ETA BRJ</t>
  </si>
  <si>
    <t>FREE TIME</t>
  </si>
  <si>
    <t>DOCUMENT POSITION</t>
  </si>
  <si>
    <t>ORIGINAL DOC REC DATE</t>
  </si>
  <si>
    <t>UNITED RAW MATERIAL PTE LTD</t>
  </si>
  <si>
    <t>02621P38278182</t>
  </si>
  <si>
    <t>19.05.25</t>
  </si>
  <si>
    <t>URMPL/62842/2024-25</t>
  </si>
  <si>
    <t>UAE</t>
  </si>
  <si>
    <t>MEDUH9003383</t>
  </si>
  <si>
    <t>20.05.25</t>
  </si>
  <si>
    <t>JEBEL ALI, UAE</t>
  </si>
  <si>
    <t>MTO</t>
  </si>
  <si>
    <t>848/MT</t>
  </si>
  <si>
    <t>04.07.25</t>
  </si>
  <si>
    <t>20.07.25</t>
  </si>
  <si>
    <t>ok</t>
  </si>
  <si>
    <t>GROUP</t>
  </si>
  <si>
    <t>SHIPPER</t>
  </si>
  <si>
    <t>LC NO.</t>
  </si>
  <si>
    <t>BL NO.</t>
  </si>
  <si>
    <t>SHIPPING LINE</t>
  </si>
  <si>
    <t>ITEM</t>
  </si>
  <si>
    <t>QTY</t>
  </si>
  <si>
    <t>CONTAINER</t>
  </si>
  <si>
    <t>CONTAINER SIZE</t>
  </si>
  <si>
    <t>pbt</t>
  </si>
  <si>
    <t>PERDUE AGRIBUSINESS LLC</t>
  </si>
  <si>
    <t>HBDFX09780382</t>
  </si>
  <si>
    <t>MAERSK</t>
  </si>
  <si>
    <t xml:space="preserve">SOYBEAN MEAL </t>
  </si>
  <si>
    <t>19.01.022</t>
  </si>
  <si>
    <t>01.02.022</t>
  </si>
  <si>
    <t>19 / 20.01.022</t>
  </si>
  <si>
    <t>Factory,htd,ngrah</t>
  </si>
  <si>
    <t>HBDFX09780491</t>
  </si>
  <si>
    <t>GG done dispatch 22.01.022</t>
  </si>
  <si>
    <t>PGC</t>
  </si>
  <si>
    <t xml:space="preserve">SONALI </t>
  </si>
  <si>
    <t>CIBLINR022002001</t>
  </si>
  <si>
    <t>CC OVEN  HP 364</t>
  </si>
  <si>
    <t>20.01.022</t>
  </si>
  <si>
    <t>CC non OVEN  454</t>
  </si>
  <si>
    <t>PBT</t>
  </si>
  <si>
    <t>Zeus biotech</t>
  </si>
  <si>
    <t>EB0011FOU02556</t>
  </si>
  <si>
    <t>Organomin</t>
  </si>
  <si>
    <t>OK, RELEASED 17.01.022</t>
  </si>
  <si>
    <t>nicpl</t>
  </si>
  <si>
    <t>097ILCS79USD0157</t>
  </si>
  <si>
    <t>213734314</t>
  </si>
  <si>
    <t>22.01.022</t>
  </si>
  <si>
    <t>02.02.022</t>
  </si>
  <si>
    <t>completed on 24.01.022</t>
  </si>
  <si>
    <t>ayush7,asian 5, bhusal 1, pbt 1, kailash 1, vallyagro jhapa 2, 3 chainpur</t>
  </si>
  <si>
    <t>UPHAR</t>
  </si>
  <si>
    <t>Seasons</t>
  </si>
  <si>
    <t>18021LS00795</t>
  </si>
  <si>
    <t>SOYBEAN MEAL</t>
  </si>
  <si>
    <t>R28h</t>
  </si>
  <si>
    <t>13.01.022</t>
  </si>
  <si>
    <t>pbt west</t>
  </si>
  <si>
    <t>FORNAZOR</t>
  </si>
  <si>
    <t>001USD211325S</t>
  </si>
  <si>
    <t>IGPL</t>
  </si>
  <si>
    <t>CIBLIFX022002005</t>
  </si>
  <si>
    <t>PHTHALIC ANHYDRIDE</t>
  </si>
  <si>
    <t>23.01.022</t>
  </si>
  <si>
    <t>htd reach 26.01.022</t>
  </si>
  <si>
    <t>AGRAWAL CHEMICALS</t>
  </si>
  <si>
    <t>CIBLINR022002002</t>
  </si>
  <si>
    <t>MIX ZYLENE</t>
  </si>
  <si>
    <t>GYLCERINE</t>
  </si>
  <si>
    <t>FREY COMMODITIES - DENMARK</t>
  </si>
  <si>
    <t>HBDFX09780557</t>
  </si>
  <si>
    <t>SOYABEAN SEED</t>
  </si>
  <si>
    <t>6 CONT 23.01.022, 10 cont 24.01, 4 cont 26.01.022</t>
  </si>
  <si>
    <t>MARUBENI CORPORATION</t>
  </si>
  <si>
    <t>NBL2184002U0692</t>
  </si>
  <si>
    <t>TSNCB21009413</t>
  </si>
  <si>
    <t>L-Threonine</t>
  </si>
  <si>
    <t>reach pbt 26.01.022</t>
  </si>
  <si>
    <t>MARUBANI CORPORATION</t>
  </si>
  <si>
    <t>005LCNI21100915</t>
  </si>
  <si>
    <t>TSNCB21009617</t>
  </si>
  <si>
    <t>RCL</t>
  </si>
  <si>
    <t>19.01.022 kol</t>
  </si>
  <si>
    <t>03.02.022</t>
  </si>
  <si>
    <t>005LCNI21100927</t>
  </si>
  <si>
    <t>TSNCB21009406</t>
  </si>
  <si>
    <t>L-LYSINE</t>
  </si>
  <si>
    <t>TRC GLOBAL SDN BHD</t>
  </si>
  <si>
    <t>097ILCS79USD0328</t>
  </si>
  <si>
    <t>1KT273296</t>
  </si>
  <si>
    <t>CHICK PEAS</t>
  </si>
  <si>
    <t>05.02.022</t>
  </si>
  <si>
    <t>chainpur 28.01.022</t>
  </si>
  <si>
    <t>SEASONS OVERSEAS</t>
  </si>
  <si>
    <t>001USD211982S</t>
  </si>
  <si>
    <t>MEDUML443907</t>
  </si>
  <si>
    <t>MSC</t>
  </si>
  <si>
    <t>CANADIAN SOYBEANS</t>
  </si>
  <si>
    <t>27.01.022</t>
  </si>
  <si>
    <t>10.02.022</t>
  </si>
  <si>
    <t>OILSEEDS TRADING LP</t>
  </si>
  <si>
    <t>005LCNI21100921</t>
  </si>
  <si>
    <t>RAPESEED</t>
  </si>
  <si>
    <t>25.01.022</t>
  </si>
  <si>
    <t>07.02.022</t>
  </si>
  <si>
    <t>OK</t>
  </si>
  <si>
    <t>chainpur 30.01.022</t>
  </si>
  <si>
    <t>pgc</t>
  </si>
  <si>
    <t>SONALI POLYPLAST</t>
  </si>
  <si>
    <t>CIBLINR022002003</t>
  </si>
  <si>
    <t>002/1451</t>
  </si>
  <si>
    <t>CC FMB</t>
  </si>
  <si>
    <t>29.01.022</t>
  </si>
  <si>
    <t>factory 02.02.022</t>
  </si>
  <si>
    <t>THE DELONG COMPANY INC</t>
  </si>
  <si>
    <t>001USD211518S</t>
  </si>
  <si>
    <t>214150058</t>
  </si>
  <si>
    <t>13.02.022</t>
  </si>
  <si>
    <t>ok 17 cont rec,</t>
  </si>
  <si>
    <t>HBDFX09780496</t>
  </si>
  <si>
    <t>213255794</t>
  </si>
  <si>
    <t>CANOLA SEED</t>
  </si>
  <si>
    <t>31.01.022</t>
  </si>
  <si>
    <t>12.02.022</t>
  </si>
  <si>
    <t>PKT ASSOCIATES</t>
  </si>
  <si>
    <t>097ILCS79USD0103</t>
  </si>
  <si>
    <t>MEDUPG973605</t>
  </si>
  <si>
    <t>BROWN EYE BEANS</t>
  </si>
  <si>
    <t>factory chainpur 05.02.022</t>
  </si>
  <si>
    <t>SCOULAR SINGAPORE PTE LTD</t>
  </si>
  <si>
    <t>CIBLIFX021002168</t>
  </si>
  <si>
    <t>213385491</t>
  </si>
  <si>
    <t>chainpur 10.02.022</t>
  </si>
  <si>
    <t xml:space="preserve">EVONIK </t>
  </si>
  <si>
    <t>EB0011FOU02550</t>
  </si>
  <si>
    <t>ESL/SIN/ICD220132</t>
  </si>
  <si>
    <t>DLM</t>
  </si>
  <si>
    <t>09.02.022</t>
  </si>
  <si>
    <t>15.02.022</t>
  </si>
  <si>
    <t>factory</t>
  </si>
  <si>
    <t>11.02.022</t>
  </si>
  <si>
    <t>SEASONS OVERSEAS PTE LTD</t>
  </si>
  <si>
    <t>CIBLIFX021002150</t>
  </si>
  <si>
    <t>24.02.022</t>
  </si>
  <si>
    <t>1 CONT UPHAR, 2 CONT AGROMIX,5 pbt,1 chainpur,2 itahari,5 dryport</t>
  </si>
  <si>
    <t>POLYMET SA ( S) PTE LTD</t>
  </si>
  <si>
    <t>013IMFLC212427</t>
  </si>
  <si>
    <t>MARLEX POLYPROPYLENE RESIN ( RAFFIA)</t>
  </si>
  <si>
    <t>17.02.022</t>
  </si>
  <si>
    <t>factory 11.02.022</t>
  </si>
  <si>
    <t>INDIAN OIL CORPORATION</t>
  </si>
  <si>
    <t xml:space="preserve">IUDSF1122USD0126 </t>
  </si>
  <si>
    <t>398 &amp; 399</t>
  </si>
  <si>
    <t>PP HOMO RAFFIA 1030RG</t>
  </si>
  <si>
    <t>ETA 06.02.2022</t>
  </si>
  <si>
    <t>pending</t>
  </si>
  <si>
    <t>IUDSF1122USD0127</t>
  </si>
  <si>
    <t>PP CP 3120MA ( POULTRY)</t>
  </si>
  <si>
    <t>NBL2184002U0689</t>
  </si>
  <si>
    <t>KMTCXGG2063256</t>
  </si>
  <si>
    <t>KMTC</t>
  </si>
  <si>
    <t>04.02.022 kol</t>
  </si>
  <si>
    <t>17.02.021</t>
  </si>
  <si>
    <t>FACTORY</t>
  </si>
  <si>
    <t>14.02.022</t>
  </si>
  <si>
    <t>NBL2184002U0690</t>
  </si>
  <si>
    <t>KMTCXGG2062257</t>
  </si>
  <si>
    <t>BUNGE ASIA PTE LTD</t>
  </si>
  <si>
    <t>NBL2184002U0759</t>
  </si>
  <si>
    <t>MT DOLPHIN SEA</t>
  </si>
  <si>
    <t>CSBO</t>
  </si>
  <si>
    <t>005LCNI21100920</t>
  </si>
  <si>
    <t>TSNCB21010378</t>
  </si>
  <si>
    <t>LEOE EXPRESS</t>
  </si>
  <si>
    <t>16.02.022</t>
  </si>
  <si>
    <t>chainpur</t>
  </si>
  <si>
    <t>NBL2184002U0691</t>
  </si>
  <si>
    <t xml:space="preserve">TSNCB21010408, </t>
  </si>
  <si>
    <t>kol02.02.022</t>
  </si>
  <si>
    <t>EB0011FOS02703</t>
  </si>
  <si>
    <t>TSNCB21010407,</t>
  </si>
  <si>
    <t>02.02.022 kol</t>
  </si>
  <si>
    <t>001USD211770S</t>
  </si>
  <si>
    <t>214806253</t>
  </si>
  <si>
    <t>28.02.022</t>
  </si>
  <si>
    <t>10,15,12 cont</t>
  </si>
  <si>
    <t>JATIA CHEMICALS  PVT LTD</t>
  </si>
  <si>
    <t>P02611S153289</t>
  </si>
  <si>
    <t>061/2021-22</t>
  </si>
  <si>
    <t>DCP</t>
  </si>
  <si>
    <t>Shriram bioseed</t>
  </si>
  <si>
    <t>P02611U203389</t>
  </si>
  <si>
    <t>73633&amp;73632</t>
  </si>
  <si>
    <t>CORN SEED</t>
  </si>
  <si>
    <t>pgc fac</t>
  </si>
  <si>
    <t>067/2021-22</t>
  </si>
  <si>
    <t>PENDING</t>
  </si>
  <si>
    <t>EB0011FOS02683</t>
  </si>
  <si>
    <t>214398575</t>
  </si>
  <si>
    <t>20.02.022</t>
  </si>
  <si>
    <t>02.03.022</t>
  </si>
  <si>
    <t>2 pbt, 10 cont,8 CONT</t>
  </si>
  <si>
    <t>pbt 23.02.022 complete</t>
  </si>
  <si>
    <t>001USD220098U</t>
  </si>
  <si>
    <t>BSLSINICD220201</t>
  </si>
  <si>
    <t>21.02.022</t>
  </si>
  <si>
    <t>PENDING, SRIVALLI</t>
  </si>
  <si>
    <t>22.02.022</t>
  </si>
  <si>
    <t>pbt factory</t>
  </si>
  <si>
    <t>P02621U136489</t>
  </si>
  <si>
    <t xml:space="preserve">BSLSINICD220158, </t>
  </si>
  <si>
    <t>19.02.022</t>
  </si>
  <si>
    <t>05.03.022</t>
  </si>
  <si>
    <t>ok SRIVALLI</t>
  </si>
  <si>
    <t>SONALI POLYPLAST PVT LTD</t>
  </si>
  <si>
    <t>006IMFLC220294</t>
  </si>
  <si>
    <t>pgc gandak 23.02.022</t>
  </si>
  <si>
    <t>COLOUR MASTERBATCH  HDPE BLUE/ YELLOW</t>
  </si>
  <si>
    <t>HBDFX09780492</t>
  </si>
  <si>
    <t>250 MT Kishori &amp;  250 MT Ravindra , ok</t>
  </si>
  <si>
    <t>11 cont, 2 cont, 2 CON, 3 cont 23.02</t>
  </si>
  <si>
    <t>EB0011FOS02673</t>
  </si>
  <si>
    <t>214486925</t>
  </si>
  <si>
    <t>16 cont fact, 4 cont 24.02 fac</t>
  </si>
  <si>
    <t>MANDALA</t>
  </si>
  <si>
    <t>ILC903787900160</t>
  </si>
  <si>
    <t>214758227</t>
  </si>
  <si>
    <t>RED LENTILS</t>
  </si>
  <si>
    <t>25.02.022</t>
  </si>
  <si>
    <t>NNPL</t>
  </si>
  <si>
    <t>itahari 4</t>
  </si>
  <si>
    <t>214398596</t>
  </si>
  <si>
    <t>08.03.022</t>
  </si>
  <si>
    <t>ok,DONE, duty sent</t>
  </si>
  <si>
    <t>8 CONT 25.02,11 cont 26.02.022</t>
  </si>
  <si>
    <t>IUDSF1122USD0125</t>
  </si>
  <si>
    <t>430 &amp; 431</t>
  </si>
  <si>
    <t>pp lamination - 1350YG</t>
  </si>
  <si>
    <t>26.02.022</t>
  </si>
  <si>
    <t>27.02.022</t>
  </si>
  <si>
    <t>22ILC0004</t>
  </si>
  <si>
    <t>MEDUML454896</t>
  </si>
  <si>
    <t>06.03.022</t>
  </si>
  <si>
    <t>ok,done</t>
  </si>
  <si>
    <t>ILC903787900749</t>
  </si>
  <si>
    <t>3 asian,3 ravindra,3mukesh 26.02, 2 ith, 2 ngrh 27.02,4 ngrh wellhope,kailash 28.02.022</t>
  </si>
  <si>
    <t>ZEUS BIOTECH PRIVATE LIMITED</t>
  </si>
  <si>
    <t>001INR220123U</t>
  </si>
  <si>
    <t>sugam</t>
  </si>
  <si>
    <t>RUMIYEAST</t>
  </si>
  <si>
    <t xml:space="preserve">sugam </t>
  </si>
  <si>
    <t>TRACEL</t>
  </si>
  <si>
    <t>NBL2284002U0781</t>
  </si>
  <si>
    <t>MEDUML493290</t>
  </si>
  <si>
    <t>02.03.022 pbt fact</t>
  </si>
  <si>
    <t>ADISSEO ASIA PACIFIC</t>
  </si>
  <si>
    <t>001USD211824U</t>
  </si>
  <si>
    <t>NSTU650082SINCCUBRJ</t>
  </si>
  <si>
    <t>VITAMIN</t>
  </si>
  <si>
    <t>ok, Nepal shipping</t>
  </si>
  <si>
    <t>03.03.022</t>
  </si>
  <si>
    <t>HBDFX09780319</t>
  </si>
  <si>
    <t>213273217</t>
  </si>
  <si>
    <t xml:space="preserve">MUSTARD SEED ( R) </t>
  </si>
  <si>
    <t>09.03.022</t>
  </si>
  <si>
    <t>12.03.022</t>
  </si>
  <si>
    <t>04.03.022</t>
  </si>
  <si>
    <t>P02621S122989</t>
  </si>
  <si>
    <t>KMTCXGG2060965</t>
  </si>
  <si>
    <t>23.02.022</t>
  </si>
  <si>
    <t>chain 06.03.022 duty not in time</t>
  </si>
  <si>
    <t>pgc htd</t>
  </si>
  <si>
    <t xml:space="preserve">AGRAWAL CHEMICAL </t>
  </si>
  <si>
    <t>006IMFLC220297</t>
  </si>
  <si>
    <t>011-51280</t>
  </si>
  <si>
    <t xml:space="preserve">IP ROADLINE </t>
  </si>
  <si>
    <t>MIX XYELENE</t>
  </si>
  <si>
    <t>pk</t>
  </si>
  <si>
    <t xml:space="preserve">pgc </t>
  </si>
  <si>
    <t>00CCBLU78790939</t>
  </si>
  <si>
    <t>097ILCS79USD0335</t>
  </si>
  <si>
    <t>214037028</t>
  </si>
  <si>
    <t>14.03.022</t>
  </si>
  <si>
    <t>07.03.022</t>
  </si>
  <si>
    <t>NBL2284002U0780</t>
  </si>
  <si>
    <t>MEDUML493373</t>
  </si>
  <si>
    <t>13.03.022</t>
  </si>
  <si>
    <t>Wuxi Buhler</t>
  </si>
  <si>
    <t>HBDFX09771755</t>
  </si>
  <si>
    <t>GXWNK21115610</t>
  </si>
  <si>
    <t>DIES OR ROLLER</t>
  </si>
  <si>
    <t>1 SET</t>
  </si>
  <si>
    <t>LCL kol</t>
  </si>
  <si>
    <t>10.03.022</t>
  </si>
  <si>
    <t>P02621U169389</t>
  </si>
  <si>
    <t>ONEYSINC06147900</t>
  </si>
  <si>
    <t>ONE LOGISTIC</t>
  </si>
  <si>
    <t>23.03.022</t>
  </si>
  <si>
    <t>P02621U169289</t>
  </si>
  <si>
    <t>ONEYSINC06144600</t>
  </si>
  <si>
    <t>HBDFX09780890</t>
  </si>
  <si>
    <t>214596403</t>
  </si>
  <si>
    <t>01.03.022</t>
  </si>
  <si>
    <t>ok,35 cont reach, DUTY OK</t>
  </si>
  <si>
    <t>11.03.022</t>
  </si>
  <si>
    <t>22ILC0033</t>
  </si>
  <si>
    <t>ESLSINICD220221</t>
  </si>
  <si>
    <t>21.03.022</t>
  </si>
  <si>
    <t>OMEGA PLASTO LTD</t>
  </si>
  <si>
    <t>006IMFLC220355</t>
  </si>
  <si>
    <t xml:space="preserve">308-601025 </t>
  </si>
  <si>
    <t>pashupati</t>
  </si>
  <si>
    <t>POLYPROLENE COMPUND</t>
  </si>
  <si>
    <t>gandak09.03.022</t>
  </si>
  <si>
    <t>KANORIA</t>
  </si>
  <si>
    <t>006IMFLC220296</t>
  </si>
  <si>
    <t xml:space="preserve"> pashupati</t>
  </si>
  <si>
    <t>PENTA</t>
  </si>
  <si>
    <t>htd</t>
  </si>
  <si>
    <t>thermax</t>
  </si>
  <si>
    <t>boiler</t>
  </si>
  <si>
    <t>Hindustan</t>
  </si>
  <si>
    <t>glass</t>
  </si>
  <si>
    <t>ktm</t>
  </si>
  <si>
    <t>roshanji</t>
  </si>
  <si>
    <t>001USD211964S</t>
  </si>
  <si>
    <t>213670513</t>
  </si>
  <si>
    <t>fact</t>
  </si>
  <si>
    <t>NICPL</t>
  </si>
  <si>
    <t>TIANYUE BIOCHEMICAL CO. LTD</t>
  </si>
  <si>
    <t>CCBLDAP0437879</t>
  </si>
  <si>
    <t>215344605</t>
  </si>
  <si>
    <t>ok, both arrived</t>
  </si>
  <si>
    <t>15.03.022</t>
  </si>
  <si>
    <t>CHAINPUR</t>
  </si>
  <si>
    <t>ELANCO</t>
  </si>
  <si>
    <t>NMB21LC78791863</t>
  </si>
  <si>
    <t>PULMOTIL AC</t>
  </si>
  <si>
    <t>1920 EA</t>
  </si>
  <si>
    <t>load 01.03.2022</t>
  </si>
  <si>
    <t>tia ktm</t>
  </si>
  <si>
    <t>dholahiti</t>
  </si>
  <si>
    <t>EB0011FOU02557</t>
  </si>
  <si>
    <t>ESLSINICD220232</t>
  </si>
  <si>
    <t>expressway</t>
  </si>
  <si>
    <t>ProPhorce SR 130</t>
  </si>
  <si>
    <t>27.03.022</t>
  </si>
  <si>
    <t>16.03.022</t>
  </si>
  <si>
    <t>ILC903787900651</t>
  </si>
  <si>
    <t>214338092</t>
  </si>
  <si>
    <t>24.03.022</t>
  </si>
  <si>
    <t>ok DO</t>
  </si>
  <si>
    <t>asian biratnagar 16.03.022</t>
  </si>
  <si>
    <t>CITY</t>
  </si>
  <si>
    <t>ILC903787901641</t>
  </si>
  <si>
    <t>02.03.022 LOAD</t>
  </si>
  <si>
    <t>20.03.022</t>
  </si>
  <si>
    <t>SABIC ASIA PACIFIC PTE LTD</t>
  </si>
  <si>
    <t>CIBLIFX022002006</t>
  </si>
  <si>
    <t>R04492336</t>
  </si>
  <si>
    <t>PP 506P 148</t>
  </si>
  <si>
    <t>18.03.022</t>
  </si>
  <si>
    <t>28.03.022</t>
  </si>
  <si>
    <t>gandak</t>
  </si>
  <si>
    <t>001CCBLU78791012</t>
  </si>
  <si>
    <t>CC FMB FMB SPL HP364</t>
  </si>
  <si>
    <t>22.03.022</t>
  </si>
  <si>
    <t>PENDING, brj</t>
  </si>
  <si>
    <t>RELIANCE IND PVT LTD</t>
  </si>
  <si>
    <t>IUDSF1122USD0289</t>
  </si>
  <si>
    <t>PP H030SG</t>
  </si>
  <si>
    <t>IUDSF1122USD0288</t>
  </si>
  <si>
    <t xml:space="preserve">PP H350 FG </t>
  </si>
  <si>
    <t>CIBLIFX022002014</t>
  </si>
  <si>
    <t>1030RG PP HOMO RAFFIA</t>
  </si>
  <si>
    <t>HBDFX09780784</t>
  </si>
  <si>
    <t>214482225</t>
  </si>
  <si>
    <t>ok, duty sent 15.03.022</t>
  </si>
  <si>
    <t>3 cont pbt,4 pbt,8 pbt, 4 pbt</t>
  </si>
  <si>
    <t>097ILCS79USD0336</t>
  </si>
  <si>
    <t>214759657</t>
  </si>
  <si>
    <t>19.03.022</t>
  </si>
  <si>
    <t>01.04.022</t>
  </si>
  <si>
    <t>215402744</t>
  </si>
  <si>
    <t>skylark 4,newhope 4,lumbini 3, balaji 3, asian 1, aayush 3</t>
  </si>
  <si>
    <t>lumbini hitech</t>
  </si>
  <si>
    <t>215158933</t>
  </si>
  <si>
    <t>17.03.022</t>
  </si>
  <si>
    <t>30.03.022</t>
  </si>
  <si>
    <t>ok, duty ok</t>
  </si>
  <si>
    <t>HBDFX09780629</t>
  </si>
  <si>
    <t>OK,mukesh, ravinder</t>
  </si>
  <si>
    <t>6 cont awadh,6 mukesh, 4, 2 ithari</t>
  </si>
  <si>
    <t>EB0011FOS02730</t>
  </si>
  <si>
    <t>215073452</t>
  </si>
  <si>
    <t>31.03.022</t>
  </si>
  <si>
    <t>NWHPL</t>
  </si>
  <si>
    <t>FAMSUN</t>
  </si>
  <si>
    <t>HBLIFX09770750</t>
  </si>
  <si>
    <t>DH202112130</t>
  </si>
  <si>
    <t>STEEL SILO</t>
  </si>
  <si>
    <t>04.04.022</t>
  </si>
  <si>
    <t>Nepal warehouse 29.03</t>
  </si>
  <si>
    <t>CREATIVE</t>
  </si>
  <si>
    <t>001INR211975S</t>
  </si>
  <si>
    <t>TCI FRGHT</t>
  </si>
  <si>
    <t>FILTER</t>
  </si>
  <si>
    <t>HBDFX09780785</t>
  </si>
  <si>
    <t>215016918</t>
  </si>
  <si>
    <t>22,03.022</t>
  </si>
  <si>
    <t>7 cont fac, 13 cont 29.03</t>
  </si>
  <si>
    <t>215336958</t>
  </si>
  <si>
    <t>30.03.022 fac</t>
  </si>
  <si>
    <t>215237115</t>
  </si>
  <si>
    <t>05.04.022</t>
  </si>
  <si>
    <t>12 cont 30.03 fac, 8 CONT 31.03.022</t>
  </si>
  <si>
    <t>001USD220426U</t>
  </si>
  <si>
    <t>ok, 27 cont disp, ip ok</t>
  </si>
  <si>
    <t>06.04.022</t>
  </si>
  <si>
    <t>16 cont pbt, 11 cont chainpur</t>
  </si>
  <si>
    <t>CHANGLI ( HK) LIMITED</t>
  </si>
  <si>
    <t>NBL2184002U0675</t>
  </si>
  <si>
    <t>L‐LYSINE HCL</t>
  </si>
  <si>
    <t>1 x 20</t>
  </si>
  <si>
    <t>17.02.2022</t>
  </si>
  <si>
    <t>02.04.022</t>
  </si>
  <si>
    <t>15.04.022</t>
  </si>
  <si>
    <t>15.02.2022</t>
  </si>
  <si>
    <t>fac 06.04</t>
  </si>
  <si>
    <t>CIBLIFX021002187</t>
  </si>
  <si>
    <t>R04469937</t>
  </si>
  <si>
    <t>PP 506P</t>
  </si>
  <si>
    <t>03.04.022</t>
  </si>
  <si>
    <t>23.04.022</t>
  </si>
  <si>
    <t>ok, BRJ</t>
  </si>
  <si>
    <t>TXBT17</t>
  </si>
  <si>
    <t>PGC gandak 06.04.022</t>
  </si>
  <si>
    <t>001USD211935S</t>
  </si>
  <si>
    <t>28 x 20</t>
  </si>
  <si>
    <t>01.03.2022</t>
  </si>
  <si>
    <t>09.04.022</t>
  </si>
  <si>
    <t>ok, ip ok, do ok,duty ok</t>
  </si>
  <si>
    <t>06.02.2022</t>
  </si>
  <si>
    <t>15 cont 01.04, 3 cont 03.04.022, 5 cont 05.04, 05 cont 06.04</t>
  </si>
  <si>
    <t>Evonik India</t>
  </si>
  <si>
    <t>567-19075</t>
  </si>
  <si>
    <t>Gutcare</t>
  </si>
  <si>
    <t>Pending</t>
  </si>
  <si>
    <t>pbt 08.04.022</t>
  </si>
  <si>
    <t>001CCBLU78790449</t>
  </si>
  <si>
    <t>US100266114</t>
  </si>
  <si>
    <t>HEMICELL</t>
  </si>
  <si>
    <t>160 EA</t>
  </si>
  <si>
    <t>20.03.022 kol</t>
  </si>
  <si>
    <t>HBDFX09781095</t>
  </si>
  <si>
    <t>HLCUBSC220117139</t>
  </si>
  <si>
    <t>HAPANG</t>
  </si>
  <si>
    <t>25 X 20</t>
  </si>
  <si>
    <t>20.03.2022</t>
  </si>
  <si>
    <t>12.04.022</t>
  </si>
  <si>
    <t>ok,ip ok, duty ok</t>
  </si>
  <si>
    <t>27.03.2022</t>
  </si>
  <si>
    <t>AROWANA EXIM</t>
  </si>
  <si>
    <t>EB0011FOS02800</t>
  </si>
  <si>
    <t>MEDURI410180</t>
  </si>
  <si>
    <t>4 x 20</t>
  </si>
  <si>
    <t>30.03.2022</t>
  </si>
  <si>
    <t>ok, do ok, duty ok</t>
  </si>
  <si>
    <t>31.03.2022</t>
  </si>
  <si>
    <t>JATIA</t>
  </si>
  <si>
    <t>CREDIT</t>
  </si>
  <si>
    <t>1530/2021-22 SAVITA</t>
  </si>
  <si>
    <t>DCO</t>
  </si>
  <si>
    <t>pbt 10.04.022</t>
  </si>
  <si>
    <t>SHANGHAI NUVIT</t>
  </si>
  <si>
    <t>001USD22DAP022</t>
  </si>
  <si>
    <t>OOLU2690965430</t>
  </si>
  <si>
    <t>oocl</t>
  </si>
  <si>
    <t>L-LYSINE Sulphate</t>
  </si>
  <si>
    <t>1 X 40</t>
  </si>
  <si>
    <t>18.03.2022</t>
  </si>
  <si>
    <t>14.04.022</t>
  </si>
  <si>
    <t>HBLDAP09780010</t>
  </si>
  <si>
    <t>OOLU2690964930</t>
  </si>
  <si>
    <t>16.03.2022</t>
  </si>
  <si>
    <t>NBL2284002U0791</t>
  </si>
  <si>
    <t>MEDUML508592</t>
  </si>
  <si>
    <t>msc</t>
  </si>
  <si>
    <t>11 x 20</t>
  </si>
  <si>
    <t>24.03.2022</t>
  </si>
  <si>
    <t>16.04.022</t>
  </si>
  <si>
    <t>ok, ip ok, duty ok</t>
  </si>
  <si>
    <t>02.03.2022</t>
  </si>
  <si>
    <t>10.04.022 chainpur 10, 1 pbt</t>
  </si>
  <si>
    <t>SEASONS</t>
  </si>
  <si>
    <t>P02621U278089</t>
  </si>
  <si>
    <t>ELYGNCCU220336</t>
  </si>
  <si>
    <t>GREEN MUNG BEAN</t>
  </si>
  <si>
    <t>29.03.022</t>
  </si>
  <si>
    <t>18.04.022</t>
  </si>
  <si>
    <t>ok, ip ok</t>
  </si>
  <si>
    <t>R153h</t>
  </si>
  <si>
    <t>26.03.022</t>
  </si>
  <si>
    <t>chainpur 09.04.022</t>
  </si>
  <si>
    <t>102LCNI22020002</t>
  </si>
  <si>
    <t>LOAD 02.03.022</t>
  </si>
  <si>
    <t>NBL2284002U0792</t>
  </si>
  <si>
    <t>MEDUML507859</t>
  </si>
  <si>
    <t>20 x 20</t>
  </si>
  <si>
    <t>24-03-22</t>
  </si>
  <si>
    <t>16-04-22</t>
  </si>
  <si>
    <t>8 pbt, 6 chainpur,5 chainpur</t>
  </si>
  <si>
    <t>13.04.22</t>
  </si>
  <si>
    <t>nnpl</t>
  </si>
  <si>
    <t>001CCBLS78790592</t>
  </si>
  <si>
    <t>10 x 40</t>
  </si>
  <si>
    <t>ok, 5 cont reach, 5 intransit, ip ok</t>
  </si>
  <si>
    <t>j54</t>
  </si>
  <si>
    <t>total booster</t>
  </si>
  <si>
    <t>KANORIA CHEMICAL IND LTD</t>
  </si>
  <si>
    <t>006IMFLC220604</t>
  </si>
  <si>
    <t>308-601068</t>
  </si>
  <si>
    <t>10.04.022</t>
  </si>
  <si>
    <t>001CCBLU78791041</t>
  </si>
  <si>
    <t xml:space="preserve">om logistic </t>
  </si>
  <si>
    <t>MERUS LLC</t>
  </si>
  <si>
    <t>EB0011FOS02778</t>
  </si>
  <si>
    <t>215447179</t>
  </si>
  <si>
    <t>42 x 20</t>
  </si>
  <si>
    <t>17-03-22</t>
  </si>
  <si>
    <t>19-04-22</t>
  </si>
  <si>
    <t>ok, ip ok, duty ok, DO OK</t>
  </si>
  <si>
    <t>fac 17.04.022</t>
  </si>
  <si>
    <t>1 cont detention 1 day</t>
  </si>
  <si>
    <t>CIBLIFX022002004</t>
  </si>
  <si>
    <t>AEL1249553</t>
  </si>
  <si>
    <t>ANL</t>
  </si>
  <si>
    <t>28-03-22</t>
  </si>
  <si>
    <t>5 x 20</t>
  </si>
  <si>
    <t>08.04.022</t>
  </si>
  <si>
    <t>20.04.022</t>
  </si>
  <si>
    <t>chainpur 16.04.022</t>
  </si>
  <si>
    <t>NBL2284002U0778</t>
  </si>
  <si>
    <t>215757342</t>
  </si>
  <si>
    <t>23-04-22</t>
  </si>
  <si>
    <t>22.03.2022</t>
  </si>
  <si>
    <t>patwari 19-04-22</t>
  </si>
  <si>
    <t>18021LS01023</t>
  </si>
  <si>
    <t>3 x 40</t>
  </si>
  <si>
    <t>22.04.022</t>
  </si>
  <si>
    <t>UPHAR factory 19-04-22</t>
  </si>
  <si>
    <t>001LCIFU220095</t>
  </si>
  <si>
    <t>BRC/P/NEP/004</t>
  </si>
  <si>
    <t>PP LAMINATION</t>
  </si>
  <si>
    <t>P02611S280689</t>
  </si>
  <si>
    <t>17-04-22</t>
  </si>
  <si>
    <t>Chainpur 21.04.022</t>
  </si>
  <si>
    <t>INDUSTRIAL TECNICA PECUARIA S.A.</t>
  </si>
  <si>
    <t>001CCBLU78790827</t>
  </si>
  <si>
    <t>MEDUCI588897</t>
  </si>
  <si>
    <t>OXICAP,SALCAP,FUNGI</t>
  </si>
  <si>
    <t>1 X 20</t>
  </si>
  <si>
    <t>27.04.022</t>
  </si>
  <si>
    <t>ok, DO OK, ip ok</t>
  </si>
  <si>
    <t>PBT21.04.22</t>
  </si>
  <si>
    <t>FANO GROUP LIMITED</t>
  </si>
  <si>
    <t>097ILCS79USD0376</t>
  </si>
  <si>
    <t>127C500597</t>
  </si>
  <si>
    <t>WANHAI</t>
  </si>
  <si>
    <t>2 x 20</t>
  </si>
  <si>
    <t>29-04-22</t>
  </si>
  <si>
    <t>21-04-22</t>
  </si>
  <si>
    <t>HBDFX09781016</t>
  </si>
  <si>
    <t>215130488</t>
  </si>
  <si>
    <t>22 x 20</t>
  </si>
  <si>
    <t>24-04-22</t>
  </si>
  <si>
    <t>ok, ip ok, duty ok, do ok</t>
  </si>
  <si>
    <t>6 CONT bolbam,11 bolbam, 5 CONTAINER PBT 22-04-22</t>
  </si>
  <si>
    <t>AANAA COMMODITIES  DMCC</t>
  </si>
  <si>
    <t>P02621S258589</t>
  </si>
  <si>
    <t>AEL1201782</t>
  </si>
  <si>
    <t>19.04.022</t>
  </si>
  <si>
    <t>20-04-22</t>
  </si>
  <si>
    <t>chainpur 23-04-22</t>
  </si>
  <si>
    <t>15x20</t>
  </si>
  <si>
    <t>24-04-022</t>
  </si>
  <si>
    <t>5 CONTpbt 21.04, 10 cont pbt22.04</t>
  </si>
  <si>
    <t>RELIANCE INDUSTRIES Ltd</t>
  </si>
  <si>
    <t>013IMFLC220626</t>
  </si>
  <si>
    <t>PP RAFIA</t>
  </si>
  <si>
    <t>22-04-22</t>
  </si>
  <si>
    <t>24-04-22 GANDAK</t>
  </si>
  <si>
    <t>EB0011FOS02688</t>
  </si>
  <si>
    <t>215631267</t>
  </si>
  <si>
    <t>21-03-22</t>
  </si>
  <si>
    <t>13-04-22</t>
  </si>
  <si>
    <t>26.04.022</t>
  </si>
  <si>
    <t xml:space="preserve">ok, Tribhuvan, ip ok, do ok, </t>
  </si>
  <si>
    <t>sent to diff supplier</t>
  </si>
  <si>
    <t>NBL2184002U0756</t>
  </si>
  <si>
    <t>215604916</t>
  </si>
  <si>
    <t>26-04-22</t>
  </si>
  <si>
    <t>OK, 22 cont reach, ip ok, dutyok</t>
  </si>
  <si>
    <t>11 bolbam, 4 pbt 23-04, 7 pbt 25-04</t>
  </si>
  <si>
    <t>1560/2022-33</t>
  </si>
  <si>
    <t>pbt 25-04-22</t>
  </si>
  <si>
    <t>RACHANA OLEO</t>
  </si>
  <si>
    <t>LINSEED OIL</t>
  </si>
  <si>
    <t>pgc gandak 25-04-22</t>
  </si>
  <si>
    <t>001USD220435U</t>
  </si>
  <si>
    <t>MEDUML522874</t>
  </si>
  <si>
    <t xml:space="preserve"> SOYBEANS</t>
  </si>
  <si>
    <t>28-04-22</t>
  </si>
  <si>
    <t>ok, ip ok, do ok, duty ok</t>
  </si>
  <si>
    <t>04.04.2022</t>
  </si>
  <si>
    <t>10 pbt 25-04. 4 bolbal 26.04, 6 pbt 26-04</t>
  </si>
  <si>
    <t>CIBLIFX022002003</t>
  </si>
  <si>
    <t>215833276</t>
  </si>
  <si>
    <t>ok, ip ok, do ok</t>
  </si>
  <si>
    <t>chainpur 26-04-22</t>
  </si>
  <si>
    <t>ADISSEO</t>
  </si>
  <si>
    <t>P02621U264389</t>
  </si>
  <si>
    <t>NSTU650104SINCCUBRJ</t>
  </si>
  <si>
    <t>RHODIMET</t>
  </si>
  <si>
    <t>pbt 27-04-22</t>
  </si>
  <si>
    <t>4 sidd, 1 asian, 2 skylark, 2 sidd, 2 skylark, 4UPHAR</t>
  </si>
  <si>
    <t>SONALI</t>
  </si>
  <si>
    <t>IUDSF1122INR0729</t>
  </si>
  <si>
    <t>1563/2022-23</t>
  </si>
  <si>
    <t>SAVITA</t>
  </si>
  <si>
    <t>pgc gandak 28-04-22</t>
  </si>
  <si>
    <t>COLOR MB</t>
  </si>
  <si>
    <t>NBL2284002U0827</t>
  </si>
  <si>
    <t>MEDUML518716</t>
  </si>
  <si>
    <t>30-04-22</t>
  </si>
  <si>
    <t>10 cont pbt, 5 cont kabra 29-04</t>
  </si>
  <si>
    <t xml:space="preserve">SEASONS OVERSEAS </t>
  </si>
  <si>
    <t>NBL2284002U0828</t>
  </si>
  <si>
    <t>MEDUU3738637</t>
  </si>
  <si>
    <t>14-04-22</t>
  </si>
  <si>
    <t>ok, DO OK, ip ok, duty ok</t>
  </si>
  <si>
    <t>kabra 29-04</t>
  </si>
  <si>
    <t>EB0011FOU02637</t>
  </si>
  <si>
    <t>MEDUML557474</t>
  </si>
  <si>
    <t>ok, IP ok, DO OK, duty ok</t>
  </si>
  <si>
    <t>10 cont kabra 28-04, 10 kabra 29-04</t>
  </si>
  <si>
    <t>ok, 27 cont received, ip ok</t>
  </si>
  <si>
    <t>kabra 29-03-22</t>
  </si>
  <si>
    <t>020/ 021</t>
  </si>
  <si>
    <t xml:space="preserve">ok, </t>
  </si>
  <si>
    <t>30-04-22 pgc gandak</t>
  </si>
  <si>
    <t>KAUSHIK PRINTIING INK</t>
  </si>
  <si>
    <t>006IMFLC220606</t>
  </si>
  <si>
    <t>R-2, NRC</t>
  </si>
  <si>
    <t>HR PP ORANGE &amp; BLUE</t>
  </si>
  <si>
    <t>1564/2022-33</t>
  </si>
  <si>
    <t>25-04-22</t>
  </si>
  <si>
    <t>chainpur 29-04-22</t>
  </si>
  <si>
    <t>EB0011FOS02708</t>
  </si>
  <si>
    <t>KMTCXGG2104515</t>
  </si>
  <si>
    <t>23-04-022 kol</t>
  </si>
  <si>
    <t>pbt 02-05-22</t>
  </si>
  <si>
    <t>001USD220398U</t>
  </si>
  <si>
    <t>MEDUU3990188</t>
  </si>
  <si>
    <t>16-4-22</t>
  </si>
  <si>
    <t>11 kabra 02-05, 3 pbt 02-05, 8 kabra</t>
  </si>
  <si>
    <t>ok, ip ok, DUTY OK, do ok</t>
  </si>
  <si>
    <t>siddartha htd</t>
  </si>
  <si>
    <t>MERAKI COMMODITIES-MUKTI</t>
  </si>
  <si>
    <t>NBL2284002U0849</t>
  </si>
  <si>
    <t>215447336</t>
  </si>
  <si>
    <t>OK, IP ok, do ok</t>
  </si>
  <si>
    <t>10.04.2022</t>
  </si>
  <si>
    <t>kabra</t>
  </si>
  <si>
    <t>FORNAZOR INTERNATIONAL</t>
  </si>
  <si>
    <t>005LCNI22010065</t>
  </si>
  <si>
    <t>13-05-22</t>
  </si>
  <si>
    <t>10 pbt 06-05 UPHAR</t>
  </si>
  <si>
    <t>001USD211779S</t>
  </si>
  <si>
    <t xml:space="preserve">215695907 </t>
  </si>
  <si>
    <t>15-04-22</t>
  </si>
  <si>
    <t>27-04-22</t>
  </si>
  <si>
    <t>ok, ip ok, 9 cont only reach, duty ok, 1 reach 2-5</t>
  </si>
  <si>
    <t>10 cont dryport unload 08-05 pbt west 8 trucks, agromix 4 trucks</t>
  </si>
  <si>
    <t>FREY COMMODITIES</t>
  </si>
  <si>
    <t>001USD220304S</t>
  </si>
  <si>
    <t>215696127</t>
  </si>
  <si>
    <t>15-05-22</t>
  </si>
  <si>
    <t>OK, ip ok</t>
  </si>
  <si>
    <t>07.04.022</t>
  </si>
  <si>
    <t>10 kabra 07-5,10 kbra 08-05, 13 kabra 09-05, pbt 10 09-05</t>
  </si>
  <si>
    <t>20 cont rel on 17-05-22</t>
  </si>
  <si>
    <t>Sriram bioseed</t>
  </si>
  <si>
    <t>P02611U326289</t>
  </si>
  <si>
    <t>PADDY SEED</t>
  </si>
  <si>
    <t>02.05.22</t>
  </si>
  <si>
    <t>ROBINSON GRAIN TRADING</t>
  </si>
  <si>
    <t>005LCNI22030210</t>
  </si>
  <si>
    <t>AEL1218335</t>
  </si>
  <si>
    <t>CHICKPEAS</t>
  </si>
  <si>
    <t>14/5/2022</t>
  </si>
  <si>
    <t>doc ok, ip ok</t>
  </si>
  <si>
    <t>chainpur 09-05, free 09-05, 2 days  saurab</t>
  </si>
  <si>
    <t>R04508143</t>
  </si>
  <si>
    <t>PP 500P 149</t>
  </si>
  <si>
    <t>1 x 40</t>
  </si>
  <si>
    <t>10.05.022</t>
  </si>
  <si>
    <t>15/5/2022</t>
  </si>
  <si>
    <t>ok, do ok</t>
  </si>
  <si>
    <t>pgc 10-05</t>
  </si>
  <si>
    <t>Niraj 1</t>
  </si>
  <si>
    <t>IUDSF1122INR0797</t>
  </si>
  <si>
    <t>1578 &amp; 1579</t>
  </si>
  <si>
    <t>CC FMB SPL HP364</t>
  </si>
  <si>
    <t>DUTY PENDING</t>
  </si>
  <si>
    <t>CC FMB SPL NW454</t>
  </si>
  <si>
    <t>216221079</t>
  </si>
  <si>
    <t>pbt 11-05-22</t>
  </si>
  <si>
    <t>unloaded at dryport 10-05-22</t>
  </si>
  <si>
    <t>P02621S122889</t>
  </si>
  <si>
    <t>KMTCXGG2103877</t>
  </si>
  <si>
    <t>relese 09-05, driver death reach 10-05 unload 11-05</t>
  </si>
  <si>
    <t>005LCNI22010058</t>
  </si>
  <si>
    <t>KMTCXGG2129307</t>
  </si>
  <si>
    <t>02-05-22 BRJ</t>
  </si>
  <si>
    <t>ip received 09-05</t>
  </si>
  <si>
    <t>NBL2284002U0819</t>
  </si>
  <si>
    <t>MEDUML537385</t>
  </si>
  <si>
    <t>17-05-22</t>
  </si>
  <si>
    <t>OK, ip OK, do ok</t>
  </si>
  <si>
    <t>pbt 12-05</t>
  </si>
  <si>
    <t>001USD220458U</t>
  </si>
  <si>
    <t>MEDUU4088354</t>
  </si>
  <si>
    <t>OK, ip ok, duty ok, do ok</t>
  </si>
  <si>
    <t>15 pbt 09-05, 4 CONT 11.05(13 msc truck)</t>
  </si>
  <si>
    <t>ILC903787901098</t>
  </si>
  <si>
    <t>215420812</t>
  </si>
  <si>
    <t>29.04.022</t>
  </si>
  <si>
    <t>ok,Sold @ 715 to Tribhuwan, ip ok, do ok, duty ok</t>
  </si>
  <si>
    <t>06.05.022</t>
  </si>
  <si>
    <t>1 kailash ngrh09-05, 1 ashirwad ngard 09-05, 1kishan nepalgunj 09-05, 9 kabra 10-05, 6 kabra 11.05</t>
  </si>
  <si>
    <t>4 trucks msc</t>
  </si>
  <si>
    <t>AGRAWAL CHEMICAL</t>
  </si>
  <si>
    <t>IUDSF1122INR0731</t>
  </si>
  <si>
    <t>GLYCERINE</t>
  </si>
  <si>
    <t>pgc htd 12-05-22</t>
  </si>
  <si>
    <t>MAELIC ANHYDRIDE</t>
  </si>
  <si>
    <t>IUDSF1122INR0739</t>
  </si>
  <si>
    <t>LITHIUM HYDROXIDE</t>
  </si>
  <si>
    <t>LOHIA CORP LTD</t>
  </si>
  <si>
    <t>IUDSF1122INR0738</t>
  </si>
  <si>
    <t>PROPYLENE MULTIFILAMENT YARN</t>
  </si>
  <si>
    <t>pgc gandak11/5/2022</t>
  </si>
  <si>
    <t>UFLEX</t>
  </si>
  <si>
    <t>P02611M206689</t>
  </si>
  <si>
    <t>UP16HT5243</t>
  </si>
  <si>
    <t>WIPES</t>
  </si>
  <si>
    <t>10-05-22 chainpur</t>
  </si>
  <si>
    <t>001CCBLS78790406</t>
  </si>
  <si>
    <t>30.04.022</t>
  </si>
  <si>
    <t>2, containers kabra 12-05, 8 asian ithari cont 14-05, asian 7 cont 15-05, 1 cont ashirwad kawasati</t>
  </si>
  <si>
    <t>001USD220487U</t>
  </si>
  <si>
    <t>MEDUU4081029</t>
  </si>
  <si>
    <t>23-05-22</t>
  </si>
  <si>
    <t>OK, ip ok, do ok</t>
  </si>
  <si>
    <t>kabra 18.05.22</t>
  </si>
  <si>
    <t>Niraj 10</t>
  </si>
  <si>
    <t>JODOCO NV</t>
  </si>
  <si>
    <t>001EUR220406S</t>
  </si>
  <si>
    <t>MEDUAH517339</t>
  </si>
  <si>
    <t>JODOBET D96</t>
  </si>
  <si>
    <t>22-05-22</t>
  </si>
  <si>
    <t>ok, do pending</t>
  </si>
  <si>
    <t>pbt 18-05-22</t>
  </si>
  <si>
    <t>EB0011FOS02736</t>
  </si>
  <si>
    <t>21-05-22</t>
  </si>
  <si>
    <t>MEDURI420775</t>
  </si>
  <si>
    <t>20-05-22</t>
  </si>
  <si>
    <t>2 pbt 2 kabra 18-05-22</t>
  </si>
  <si>
    <t>Niraj 2, sanjay gg 2</t>
  </si>
  <si>
    <t>PAY NIRAJ OK</t>
  </si>
  <si>
    <t>001LCIFU22-0104</t>
  </si>
  <si>
    <t>15826 &amp; 15827</t>
  </si>
  <si>
    <t>bank open 17-05-22</t>
  </si>
  <si>
    <t>HBLIFX09781311</t>
  </si>
  <si>
    <t>24-05-22</t>
  </si>
  <si>
    <t>11 pbt 19-05, 11 pbt 20-05, 2 pbt 22-05-22</t>
  </si>
  <si>
    <t>Truck 1558 still not reached fact 27-05</t>
  </si>
  <si>
    <t>ILC903787900948</t>
  </si>
  <si>
    <t>SOYMEAL</t>
  </si>
  <si>
    <t>doc ok, do ok, ip ok, duty ok</t>
  </si>
  <si>
    <t>4 cont pbt 14-05, 14 cont unloaded dryport 21-05</t>
  </si>
  <si>
    <t>001LCIFU22-0098</t>
  </si>
  <si>
    <t>BHAWANI</t>
  </si>
  <si>
    <t>1030 PP HOMO RAFFIA</t>
  </si>
  <si>
    <t>pgc 24-05</t>
  </si>
  <si>
    <t>POLYMET SA (S) PTE LTD</t>
  </si>
  <si>
    <t>006IMFLC220576</t>
  </si>
  <si>
    <t>ONEYJEDCO2854800</t>
  </si>
  <si>
    <t>SUMITO POLYETHYLENE LDPE</t>
  </si>
  <si>
    <t>9/5/2022 kol</t>
  </si>
  <si>
    <t>30-05-22</t>
  </si>
  <si>
    <t>REACH 22-05</t>
  </si>
  <si>
    <t>PEPTECH</t>
  </si>
  <si>
    <t>P02611S275389</t>
  </si>
  <si>
    <t>PASHUPATI</t>
  </si>
  <si>
    <t>BENZOATE</t>
  </si>
  <si>
    <t>1700 KGS</t>
  </si>
  <si>
    <t>CHAINPUR 24-05-22</t>
  </si>
  <si>
    <t>ZEUS</t>
  </si>
  <si>
    <t>NBL2284002I1591</t>
  </si>
  <si>
    <t xml:space="preserve">SUGAM </t>
  </si>
  <si>
    <t>ORGANOMIN</t>
  </si>
  <si>
    <t>pbt 24-05</t>
  </si>
  <si>
    <t>HBLIFX09781252</t>
  </si>
  <si>
    <t>25-05-22</t>
  </si>
  <si>
    <t>17 cont 22-05, 15 23-05, 14 cont not sent on 24 due to back log of 29 containers at pbt, 14 cnt pbt25-05</t>
  </si>
  <si>
    <t>fully unloaded 28-05-22</t>
  </si>
  <si>
    <t>215721160</t>
  </si>
  <si>
    <t>OK, ip ok, do ok,6 on 08-05, 1 cont reach 16.05</t>
  </si>
  <si>
    <t>6 cont kabra 23-05-22, 1 cont 25-05 kab, 6 niraj tr+ 1 GG 25-05</t>
  </si>
  <si>
    <t>3 unload 24, 3 unload 25</t>
  </si>
  <si>
    <t>CIBLIFX021002173</t>
  </si>
  <si>
    <t>12.05.022</t>
  </si>
  <si>
    <t>AASHIRBAAD, doc ok, ip ok, do ok</t>
  </si>
  <si>
    <t>20-05-22 3 pm</t>
  </si>
  <si>
    <t>3  cont pbt 22-05, 2 cont kabra 22-05, 5 cont kabra,4 KB 25-05( sanjay gg 3 tr, msc 2 tr, 3 gg, 2 niraj) 4 cont not sent on 24 due to backlog ,4 cont at kabra25-05</t>
  </si>
  <si>
    <t>3 container remaining unloaded 27-05</t>
  </si>
  <si>
    <t>ILC903787901331</t>
  </si>
  <si>
    <t>15.05.022</t>
  </si>
  <si>
    <t>29-05-22</t>
  </si>
  <si>
    <t>7 cont unloaded 24-5</t>
  </si>
  <si>
    <t>2 new hope 20-05, 4 asian 20-05, 5 cont dryport 25-05</t>
  </si>
  <si>
    <t>HLCUBSC2201BJBJ0</t>
  </si>
  <si>
    <t>17/5/2022</t>
  </si>
  <si>
    <t>pbt 27-05-22</t>
  </si>
  <si>
    <t>HLXU1056243 deposit on 02-06 debit to karan</t>
  </si>
  <si>
    <t>216734848</t>
  </si>
  <si>
    <t>OK, IP OK, do ok, duty ok</t>
  </si>
  <si>
    <t>19-05-22</t>
  </si>
  <si>
    <t>1 cont ngard, 3 cont lumbini 26-05</t>
  </si>
  <si>
    <t>DG GLOBAL -MUKTI</t>
  </si>
  <si>
    <t>001USD220422S</t>
  </si>
  <si>
    <t>MEDUML590160</t>
  </si>
  <si>
    <t>SOYABEAN MEAL</t>
  </si>
  <si>
    <t>24/5/2022</t>
  </si>
  <si>
    <t>OK, ip ok, DO OK, duty ok</t>
  </si>
  <si>
    <t>pbt 28-05-22</t>
  </si>
  <si>
    <t>TATA CHEMICAL</t>
  </si>
  <si>
    <t>SBC</t>
  </si>
  <si>
    <t>26-05-22</t>
  </si>
  <si>
    <t xml:space="preserve">28-05-22 PBT </t>
  </si>
  <si>
    <t>001USD220442S</t>
  </si>
  <si>
    <t>MEDUML599153</t>
  </si>
  <si>
    <t>OK, ip ok 05-6, DO OK, duty ok</t>
  </si>
  <si>
    <t>pbt 30-05-22</t>
  </si>
  <si>
    <t>Total deposited 07-06-22</t>
  </si>
  <si>
    <t>NBL2284002U0829</t>
  </si>
  <si>
    <t>MEDUU3874002</t>
  </si>
  <si>
    <t>30-03-22</t>
  </si>
  <si>
    <t>31-05-22</t>
  </si>
  <si>
    <t>05-06-22 pbt</t>
  </si>
  <si>
    <t>standing at fac 06-06</t>
  </si>
  <si>
    <t>REMAIN 4 CONT 08-06</t>
  </si>
  <si>
    <t>kabra 2/3 pbt</t>
  </si>
  <si>
    <t>3 pbt pend 06/06</t>
  </si>
  <si>
    <t>216222260</t>
  </si>
  <si>
    <t>pending, supplier sent doc to other bank, IP OK, DOC REC 02-06-22</t>
  </si>
  <si>
    <t>10 pbt 03-06, 09 kabra 3-06</t>
  </si>
  <si>
    <t>10 pending pbt 06/06 no plnt runn</t>
  </si>
  <si>
    <t>msku7505176 unlod 09-06 due to driver na4kha713</t>
  </si>
  <si>
    <t>full wee no unloading and slow unloading</t>
  </si>
  <si>
    <t>P02621S100289</t>
  </si>
  <si>
    <t>ok, IP ok, duty ok, do ok</t>
  </si>
  <si>
    <t xml:space="preserve">1 lumbiniagro, 7 kabra, 1 kawosati, 4 kailashpati, 4 sns, </t>
  </si>
  <si>
    <t>HOLDEN</t>
  </si>
  <si>
    <t xml:space="preserve">VINAY CARGO </t>
  </si>
  <si>
    <t>BUTYHOLD</t>
  </si>
  <si>
    <t>pbt 01-06</t>
  </si>
  <si>
    <t>ALLTECH</t>
  </si>
  <si>
    <t>P02611U0349989</t>
  </si>
  <si>
    <t>SUGAM</t>
  </si>
  <si>
    <t>BIOPLEX,YEASAC</t>
  </si>
  <si>
    <t>chainpur 02-6</t>
  </si>
  <si>
    <t>SANGHAI NUVIT</t>
  </si>
  <si>
    <t>EB0011FOS02840</t>
  </si>
  <si>
    <t>217208479</t>
  </si>
  <si>
    <t>DLM - NHU</t>
  </si>
  <si>
    <t>ok, doc late due to covid, renew ip rec 05-06</t>
  </si>
  <si>
    <t>pbt 05-06</t>
  </si>
  <si>
    <t>NOT UNLOAD 08-06 DUE LABOUR SHORTAGE JHAJI WHATSAPP 07-06</t>
  </si>
  <si>
    <t>001LCIIU22-0093</t>
  </si>
  <si>
    <t>PGC 30-05</t>
  </si>
  <si>
    <t>102LCNI22010001</t>
  </si>
  <si>
    <t>216734708</t>
  </si>
  <si>
    <t>10 krishna rice mill, 6 unload dryport 02-06, 1 cont kabra</t>
  </si>
  <si>
    <t>001USD220457U</t>
  </si>
  <si>
    <t>MEDUML606032</t>
  </si>
  <si>
    <t>OK, ip ok, duty ok</t>
  </si>
  <si>
    <t xml:space="preserve">7/06 KABRA </t>
  </si>
  <si>
    <t>Contract cancel</t>
  </si>
  <si>
    <t>001CCBLS78790826</t>
  </si>
  <si>
    <t>216734714</t>
  </si>
  <si>
    <t>26-5-22</t>
  </si>
  <si>
    <t>IP OK, do ok, duty ok, DOC OK</t>
  </si>
  <si>
    <t>2/6/2022 Saturday, detention to bear by mukesh and awadh</t>
  </si>
  <si>
    <t>DO REC 07-06-22, 9mukesh 07-06,4 awadh 07-06, 5 awadh 08/06, document late</t>
  </si>
  <si>
    <t>HBLIFX09781280</t>
  </si>
  <si>
    <t>28-05-22</t>
  </si>
  <si>
    <t>ok, ip 03-06, do ok</t>
  </si>
  <si>
    <t>10 pbt 02-06-22, 5 cont pgc 06-06, 15 dugad 07-06, 10 dugad 09-06, 6 pbt 08-06, 16 DUGAD 10-06</t>
  </si>
  <si>
    <t>21 ma det lagyo</t>
  </si>
  <si>
    <t>HBLIFX09781440</t>
  </si>
  <si>
    <t>215647254</t>
  </si>
  <si>
    <t>ok, ip 6-6, do ok, duty ok</t>
  </si>
  <si>
    <t>18-05-22</t>
  </si>
  <si>
    <t>8 dugad 10-06, 22 dugad 11-06</t>
  </si>
  <si>
    <t>30 ma lagyo det</t>
  </si>
  <si>
    <t>TIMAB</t>
  </si>
  <si>
    <t>22ILC0239</t>
  </si>
  <si>
    <t>100CA01736</t>
  </si>
  <si>
    <t>16/5/2022</t>
  </si>
  <si>
    <t>29-5-22</t>
  </si>
  <si>
    <t>bank 07-6, 9/6/2022</t>
  </si>
  <si>
    <t xml:space="preserve">doc late received at bank 07-06 </t>
  </si>
  <si>
    <t>pbt 10-06</t>
  </si>
  <si>
    <t>return 13-06</t>
  </si>
  <si>
    <t>217926952</t>
  </si>
  <si>
    <t>21-06-22</t>
  </si>
  <si>
    <t>2 krishna dal 10-06</t>
  </si>
  <si>
    <t>HIND CORPORATION FZE</t>
  </si>
  <si>
    <t>IUDSF1122USD0192</t>
  </si>
  <si>
    <t>23-06-22</t>
  </si>
  <si>
    <t>OK, duty ok, 5 cont rec 29-05</t>
  </si>
  <si>
    <t>5 pgc 31-05-22</t>
  </si>
  <si>
    <t>1 cont pgc 13-06</t>
  </si>
  <si>
    <t>26-01-22</t>
  </si>
  <si>
    <t>ok,35 cont reach out of 39</t>
  </si>
  <si>
    <t>03.02.2022</t>
  </si>
  <si>
    <t>pgc 12-06</t>
  </si>
  <si>
    <t>NBL2284002U0906</t>
  </si>
  <si>
    <t xml:space="preserve">216634946 </t>
  </si>
  <si>
    <t>ok, do ok, ip ok,duty ok</t>
  </si>
  <si>
    <t>20 duggad 12-06</t>
  </si>
  <si>
    <t>11 dugad 13-06</t>
  </si>
  <si>
    <t>EB0011FOU02630</t>
  </si>
  <si>
    <t>MEDUU3876361</t>
  </si>
  <si>
    <t>22/5/2022</t>
  </si>
  <si>
    <t>15/6/2022</t>
  </si>
  <si>
    <t>ok, ip ok, do ok, 1 con 22-05, 21 cont 25-05reach</t>
  </si>
  <si>
    <t>27-05 not clear due to backlog of 14 containers at factory.</t>
  </si>
  <si>
    <t>8 pending</t>
  </si>
  <si>
    <t>pbt 8 cont 13-06(unload 15-6</t>
  </si>
  <si>
    <t>001USD220711U</t>
  </si>
  <si>
    <t>MEDUU4708233</t>
  </si>
  <si>
    <t>18-03-22</t>
  </si>
  <si>
    <t>19/6/2022</t>
  </si>
  <si>
    <t>OK, IP 21.06, duty ok</t>
  </si>
  <si>
    <t>2pbt 13-06-22,7 pbt 14-06, 3 new chainpur 15-06-22</t>
  </si>
  <si>
    <t>NMB21LC78792563</t>
  </si>
  <si>
    <t>1KT259806</t>
  </si>
  <si>
    <t>CANOLA</t>
  </si>
  <si>
    <t>OK, do ok</t>
  </si>
  <si>
    <t>chainpur 13-06</t>
  </si>
  <si>
    <t>CIBLIFX02002035</t>
  </si>
  <si>
    <t>MOGA</t>
  </si>
  <si>
    <t xml:space="preserve">1030RG HOMO RAFFIA </t>
  </si>
  <si>
    <t>ok, duty pending</t>
  </si>
  <si>
    <t>PGC 14-06-22</t>
  </si>
  <si>
    <t>006IMFLC220578</t>
  </si>
  <si>
    <t>16-06-22</t>
  </si>
  <si>
    <t>DOC OK, DUTY PEN, DO PEN</t>
  </si>
  <si>
    <t>pgc gandak 14-06-22</t>
  </si>
  <si>
    <t>EVONIK</t>
  </si>
  <si>
    <t>P02621U338289</t>
  </si>
  <si>
    <t>ONEYSINC33770400</t>
  </si>
  <si>
    <t>25-06-22</t>
  </si>
  <si>
    <t>chainpur 15-06-22</t>
  </si>
  <si>
    <t>P02621U338189</t>
  </si>
  <si>
    <t>ONEYSINC33768400</t>
  </si>
  <si>
    <t>SG CERESCO INC</t>
  </si>
  <si>
    <t>EB0011FOS02846</t>
  </si>
  <si>
    <t>MEDUML648596</t>
  </si>
  <si>
    <t>13-06-22</t>
  </si>
  <si>
    <t>20 new chainpur 16-06-022</t>
  </si>
  <si>
    <t>NBL2284002U0846</t>
  </si>
  <si>
    <t>MEDUML647390</t>
  </si>
  <si>
    <t>13/6/2022</t>
  </si>
  <si>
    <t>24-06-22</t>
  </si>
  <si>
    <t>ok, ip ok, DO OK, duty ok</t>
  </si>
  <si>
    <t>16 pbt 16-06-22, 4 new chainpur</t>
  </si>
  <si>
    <t>001USD220710U</t>
  </si>
  <si>
    <t>MEDUU4708761</t>
  </si>
  <si>
    <t>16-05-22</t>
  </si>
  <si>
    <t>12-6-022</t>
  </si>
  <si>
    <t>OK, ip 21-06, DO OK, duty 15-06</t>
  </si>
  <si>
    <t>new chainpur 15-06-22</t>
  </si>
  <si>
    <t>001USD220741U</t>
  </si>
  <si>
    <t>MEDUU4693567</t>
  </si>
  <si>
    <t>11-6-022</t>
  </si>
  <si>
    <t>OK, ip 19-06, do ok, duty ok</t>
  </si>
  <si>
    <t>10 pbt 15-06-22, 15 NEW CHAINPUR 15-06, 4 pbt 16-06</t>
  </si>
  <si>
    <t xml:space="preserve">DG GLOBAL </t>
  </si>
  <si>
    <t>22ILC0238</t>
  </si>
  <si>
    <t>MEDUML640528</t>
  </si>
  <si>
    <t>OK,ip OK, DO OK, duty ok</t>
  </si>
  <si>
    <t>10 pbt 17-06-22</t>
  </si>
  <si>
    <t>001USD220757U</t>
  </si>
  <si>
    <t>MEDUML650352</t>
  </si>
  <si>
    <t>14-06-22</t>
  </si>
  <si>
    <t>26-06-22</t>
  </si>
  <si>
    <t>OK, ip 28-06, DO OK</t>
  </si>
  <si>
    <t>Sold @ 710 to Tribhuwan, 22-05-22</t>
  </si>
  <si>
    <t>6 new chainpur 17-06</t>
  </si>
  <si>
    <t>MEDURI412517</t>
  </si>
  <si>
    <t>22-06-22</t>
  </si>
  <si>
    <t>ok,do ok, duty ok, ip exp</t>
  </si>
  <si>
    <t>4 PBT 19-06-22</t>
  </si>
  <si>
    <t>001USD220847U</t>
  </si>
  <si>
    <t>MEDUU4947773</t>
  </si>
  <si>
    <t>ok, ip 06-07, DO OK</t>
  </si>
  <si>
    <t>15 KABRA 19-06-22 3 pbt 20-06-22, 6 PATWARI 20-06-22</t>
  </si>
  <si>
    <t>001USD220771U</t>
  </si>
  <si>
    <t>MEDUML639991</t>
  </si>
  <si>
    <t>ok, ip 19-06, DO OK</t>
  </si>
  <si>
    <t>6 patwari 20-06-22, 4 PBT 20-06, 16 pbt 21-06-22</t>
  </si>
  <si>
    <t>1 CONT DEPOSIT 26-06</t>
  </si>
  <si>
    <t>006IMFLC220627</t>
  </si>
  <si>
    <t>OK, duty ok</t>
  </si>
  <si>
    <t>PGC FACT 21-06-22</t>
  </si>
  <si>
    <t>NBL2284002U0905</t>
  </si>
  <si>
    <t>MEDUML629976</t>
  </si>
  <si>
    <t>ok, ip 19-07, DO OK, duty ok</t>
  </si>
  <si>
    <t>pbt 22-06-22</t>
  </si>
  <si>
    <t>001USD220513S</t>
  </si>
  <si>
    <t>MEDUML614556</t>
  </si>
  <si>
    <t>OK,ip OK, do ok, duty 15-06</t>
  </si>
  <si>
    <t>4 krishna rice 16-06, 4 krishna rice 17-06, no planning 20-06, 3 krishna rice 21-06, 8 krishna rice 22-06, 2 cont depsit on25-06</t>
  </si>
  <si>
    <t>001USD220554S</t>
  </si>
  <si>
    <t>14/6/2022</t>
  </si>
  <si>
    <t>27-06-22</t>
  </si>
  <si>
    <t>OK, doc REC BANK 17-06, do ok, dutynok</t>
  </si>
  <si>
    <t>19-02-22</t>
  </si>
  <si>
    <t>2 kailashpati tandi 22-06-22</t>
  </si>
  <si>
    <t>NBL2284002U0875</t>
  </si>
  <si>
    <t>MEDUML648687</t>
  </si>
  <si>
    <t>ok, ip 20-06, do ok, duty ok</t>
  </si>
  <si>
    <t>10 pgc 23-06, 10 pbt 23-06-22, 24th only 6 previous pendin unload, 25th no unload</t>
  </si>
  <si>
    <t>OK, 22 cont reach, ip ok, dutyok, BL NO. 217375976
1 cont recei in cont no. CAAU6636581</t>
  </si>
  <si>
    <t>26-06-22 PBT</t>
  </si>
  <si>
    <t>CIBLINR022002053</t>
  </si>
  <si>
    <t>1636 savita</t>
  </si>
  <si>
    <t>CC FMB  SPL HP364, SPL NW454</t>
  </si>
  <si>
    <t>21-06-22 rxl</t>
  </si>
  <si>
    <t>001USD220869U</t>
  </si>
  <si>
    <t>MEDUML664833</t>
  </si>
  <si>
    <t>18-06-22</t>
  </si>
  <si>
    <t>30-06-22</t>
  </si>
  <si>
    <t>OK, IP 05-07, do ok, duty ok</t>
  </si>
  <si>
    <t>PBT 26-06-22</t>
  </si>
  <si>
    <t>EB0011FOS02859</t>
  </si>
  <si>
    <t>218110745</t>
  </si>
  <si>
    <t>L-LYSINE SHULPHATE</t>
  </si>
  <si>
    <t>001USD220905U</t>
  </si>
  <si>
    <t>MEDUML664700</t>
  </si>
  <si>
    <t>OK, IP 19-07, do ok, dutyok</t>
  </si>
  <si>
    <t>11 pbt 27-06-22, 1 KABRA 27-06</t>
  </si>
  <si>
    <t>CIBLINR022002052</t>
  </si>
  <si>
    <t>ETD 18.06.2022</t>
  </si>
  <si>
    <t>FILLER MASTERBATCH</t>
  </si>
  <si>
    <t>pgc 27-06-22</t>
  </si>
  <si>
    <t>pok</t>
  </si>
  <si>
    <t>001USD220861U</t>
  </si>
  <si>
    <t>MEDUML663173</t>
  </si>
  <si>
    <t>4 cont patwari, 4contkabra 27-06-22,6kabra &amp;6pbt 28-06</t>
  </si>
  <si>
    <t>11582 moga</t>
  </si>
  <si>
    <t>MOGA KARNAL</t>
  </si>
  <si>
    <t xml:space="preserve">1350YG PP F &amp; F </t>
  </si>
  <si>
    <t>ILC903787900959</t>
  </si>
  <si>
    <t>HLCUBSC2202BEDT5</t>
  </si>
  <si>
    <t>NBL2284002U0947</t>
  </si>
  <si>
    <t xml:space="preserve">ONEYSINC36982500 </t>
  </si>
  <si>
    <t>001USD220660U</t>
  </si>
  <si>
    <t>MEDUU4560931</t>
  </si>
  <si>
    <t>SABIC</t>
  </si>
  <si>
    <t>001LCIFU22-0100</t>
  </si>
  <si>
    <t>R04820909</t>
  </si>
  <si>
    <t>PP 500P</t>
  </si>
  <si>
    <t>R04820903</t>
  </si>
  <si>
    <t>PP 519A</t>
  </si>
  <si>
    <t>IUDSF1122USD0766</t>
  </si>
  <si>
    <t>MARLEX POLYPROPYLENE RESIN HGX-030SP</t>
  </si>
  <si>
    <t>CIBLINR022002051</t>
  </si>
  <si>
    <t>217651701</t>
  </si>
  <si>
    <t>001USD220826U</t>
  </si>
  <si>
    <t>ONEYSINC34535400</t>
  </si>
  <si>
    <t>ILC903787901840</t>
  </si>
  <si>
    <t>100CA01903</t>
  </si>
  <si>
    <t>ILC903787901835</t>
  </si>
  <si>
    <t>171C500835 wanhai</t>
  </si>
  <si>
    <t>MDCP 21%</t>
  </si>
  <si>
    <t>22ILC0326</t>
  </si>
  <si>
    <t>171C500836 WANHAI</t>
  </si>
  <si>
    <t>HINDUSTAN EQUIP</t>
  </si>
  <si>
    <t>EB0011FOU02738</t>
  </si>
  <si>
    <t>SUGAM 541304489,21-06</t>
  </si>
  <si>
    <t>HAMMER MILL BEATER</t>
  </si>
  <si>
    <t>1335 KGS</t>
  </si>
  <si>
    <t>PRABHU DAP</t>
  </si>
  <si>
    <t xml:space="preserve">BAF PREMIKS </t>
  </si>
  <si>
    <t>097ILCU79USD0944</t>
  </si>
  <si>
    <t>AHL/80/ISK/CCU/22/0063</t>
  </si>
  <si>
    <t>KEYTOX ULTRA/GREENYEAST</t>
  </si>
  <si>
    <t>OILEX</t>
  </si>
  <si>
    <t>NBL2284002I1585</t>
  </si>
  <si>
    <t>452601408PASHUPATI</t>
  </si>
  <si>
    <t>SOLVENT PLANT</t>
  </si>
  <si>
    <t>006IMFLC221274</t>
  </si>
  <si>
    <t>Pashupati</t>
  </si>
  <si>
    <t>001LCIIU22-0122</t>
  </si>
  <si>
    <t>SAVITA1674,1675</t>
  </si>
  <si>
    <t>COLOUR MASTERBATCH</t>
  </si>
  <si>
    <t>OK, DUTY PENDING</t>
  </si>
  <si>
    <t>12-07-22 pgc htd</t>
  </si>
  <si>
    <t>AKSON OILTECH</t>
  </si>
  <si>
    <t>100% ADVANCE</t>
  </si>
  <si>
    <t>cont size</t>
  </si>
  <si>
    <t>CDSBO STOCK</t>
  </si>
  <si>
    <t>VESSEL NAME</t>
  </si>
  <si>
    <t>TANK NO</t>
  </si>
  <si>
    <t>CTD NO</t>
  </si>
  <si>
    <t>LOADED QTY</t>
  </si>
  <si>
    <t>DISPATCH DATE</t>
  </si>
  <si>
    <t>BALANCE QTY</t>
  </si>
  <si>
    <t>REMARKS</t>
  </si>
  <si>
    <t>HBDFX09810547</t>
  </si>
  <si>
    <t>MT CILEO DI NEW TORK</t>
  </si>
  <si>
    <t>T-421</t>
  </si>
  <si>
    <t>0900LCIFS24-0041</t>
  </si>
  <si>
    <t>MT ATLANTIC CROWN</t>
  </si>
  <si>
    <t>090LCIFS24-0053</t>
  </si>
  <si>
    <t>THR0052SLZHLD28W</t>
  </si>
  <si>
    <t>MT GINGA THRESHER</t>
  </si>
  <si>
    <t>090LCIFS24-0054</t>
  </si>
  <si>
    <t>THR0052SLZHLD32W</t>
  </si>
  <si>
    <t>090LCIFS24-0046</t>
  </si>
  <si>
    <t>MB-12</t>
  </si>
  <si>
    <t>MT MAERSK BERING</t>
  </si>
  <si>
    <t>MB-11</t>
  </si>
  <si>
    <t>090LCIFS24-0047</t>
  </si>
  <si>
    <t>MB-10</t>
  </si>
  <si>
    <t>MB-09</t>
  </si>
  <si>
    <t>ISDF0A125USD0034</t>
  </si>
  <si>
    <t>MT MARINA ARUNG</t>
  </si>
  <si>
    <t>INTRANSIT</t>
  </si>
  <si>
    <t>Total</t>
  </si>
  <si>
    <t>ARRIVAL DATE</t>
  </si>
  <si>
    <t>ISDF0A125USD0304</t>
  </si>
  <si>
    <t>OLAM GLOBAL AGRI PTE</t>
  </si>
  <si>
    <t>MT Hafnia Tourmaline</t>
  </si>
  <si>
    <t>18.03.25</t>
  </si>
  <si>
    <t>ISDF0A125USD0699</t>
  </si>
  <si>
    <t>Avere Commodities SA</t>
  </si>
  <si>
    <t>MT GEMINI PEARL</t>
  </si>
  <si>
    <t>05.04.25</t>
  </si>
  <si>
    <t>TOTAL</t>
  </si>
  <si>
    <t>CSFO STOCK</t>
  </si>
  <si>
    <t>vssl arrival</t>
  </si>
  <si>
    <t>HBDFX09801516</t>
  </si>
  <si>
    <t xml:space="preserve">MT AVIVA </t>
  </si>
  <si>
    <t>T-431</t>
  </si>
  <si>
    <t>21.07.2024</t>
  </si>
  <si>
    <t>MT LANIKAI</t>
  </si>
  <si>
    <t>1500 mt</t>
  </si>
  <si>
    <t>CPL</t>
  </si>
  <si>
    <t>0906CIFS24-0048</t>
  </si>
  <si>
    <t>LS06V132024-05</t>
  </si>
  <si>
    <t>MT LUCKY STAR 06 V.13/2024</t>
  </si>
  <si>
    <t>RIL-31</t>
  </si>
  <si>
    <t>LS06V132024-06</t>
  </si>
  <si>
    <t>LS06V132024-07</t>
  </si>
  <si>
    <t>LS06V132024-08</t>
  </si>
  <si>
    <t>NOTE</t>
  </si>
  <si>
    <t>LOCATION</t>
  </si>
  <si>
    <t>CAPACITY</t>
  </si>
  <si>
    <t>OIL</t>
  </si>
  <si>
    <t>AEGIS VOPAK TERMINALS LIMITED</t>
  </si>
  <si>
    <t>CDSBO</t>
  </si>
  <si>
    <t>B-06</t>
  </si>
  <si>
    <t xml:space="preserve">Bansidhar Merchandise PVt LTD </t>
  </si>
  <si>
    <t>BMPL 04</t>
  </si>
  <si>
    <t>RIL-21</t>
  </si>
  <si>
    <t>RUCHI INFRASTRUCTURE LTD</t>
  </si>
  <si>
    <t>PBT INTRANSIT CONSIGNMENT DETAILS</t>
  </si>
  <si>
    <t>LC date</t>
  </si>
  <si>
    <t>PI no</t>
  </si>
  <si>
    <t>Origin</t>
  </si>
  <si>
    <t>BL date</t>
  </si>
  <si>
    <t>port of loading</t>
  </si>
  <si>
    <t>Rate/Amt</t>
  </si>
  <si>
    <t>Cont size</t>
  </si>
  <si>
    <t>ETA Viz/Kol</t>
  </si>
  <si>
    <t>Org Doc receiving</t>
  </si>
  <si>
    <t>VAN AARSEN INTERNATIONAL</t>
  </si>
  <si>
    <t>HBLIFX09811223</t>
  </si>
  <si>
    <t>09.03.25</t>
  </si>
  <si>
    <t>57497-PFI</t>
  </si>
  <si>
    <t>NETHERLANDS</t>
  </si>
  <si>
    <t>35042122, msc 
msdu7025422</t>
  </si>
  <si>
    <t>04.05.25</t>
  </si>
  <si>
    <t>SPARE FOR FEED MILL</t>
  </si>
  <si>
    <t>25429.39 eur</t>
  </si>
  <si>
    <t>SHANGHAI NUVIT BIOTECH</t>
  </si>
  <si>
    <t>C002U0454</t>
  </si>
  <si>
    <t>25.05.25</t>
  </si>
  <si>
    <t>FSO250508N009</t>
  </si>
  <si>
    <t>CHINA</t>
  </si>
  <si>
    <t>13.06.25</t>
  </si>
  <si>
    <t>L-THREONINE</t>
  </si>
  <si>
    <t>1360/MT</t>
  </si>
  <si>
    <t>18.07.25</t>
  </si>
  <si>
    <t>BSF ANIMAL NUTRITION</t>
  </si>
  <si>
    <t>HBLIFX09811824</t>
  </si>
  <si>
    <t>25.06.25</t>
  </si>
  <si>
    <t>SMINICPL250612W</t>
  </si>
  <si>
    <t>SITGTXBR545525</t>
  </si>
  <si>
    <t>03.07.25</t>
  </si>
  <si>
    <t>PHYTASE TS
BETAINE
CHOLINE CHLORIDE</t>
  </si>
  <si>
    <t>2 MT
8MT
17 MT</t>
  </si>
  <si>
    <t>2.5/KG
2.32/KG
0.72/KG</t>
  </si>
  <si>
    <t>NICPL INTRANSIT CONSIGNMENT DETAILS</t>
  </si>
  <si>
    <t>S. NO</t>
  </si>
  <si>
    <t>RATE/AMT</t>
  </si>
  <si>
    <t>Cont nos</t>
  </si>
  <si>
    <t>VIZ/KOL</t>
  </si>
  <si>
    <t>NORTHERNROCK TRADING &amp; FACTORING LLC</t>
  </si>
  <si>
    <t>DAP PRABHU</t>
  </si>
  <si>
    <t>E 00006-0000750</t>
  </si>
  <si>
    <t>ARGENTINA</t>
  </si>
  <si>
    <t>BUA0343234</t>
  </si>
  <si>
    <t>20.06.25</t>
  </si>
  <si>
    <t>GREEN MUNG BEANS, bags</t>
  </si>
  <si>
    <t>832/MT</t>
  </si>
  <si>
    <t>AGROX GULF HOLDING FZE</t>
  </si>
  <si>
    <t>DAP SANIMA</t>
  </si>
  <si>
    <t>TANZANIA</t>
  </si>
  <si>
    <t>MEDUTZ324467</t>
  </si>
  <si>
    <t>29.06.25</t>
  </si>
  <si>
    <t>DAR ES SALAAM</t>
  </si>
  <si>
    <t>75 MT</t>
  </si>
  <si>
    <t>800/MT</t>
  </si>
  <si>
    <t>02.08.25</t>
  </si>
  <si>
    <t>MEDUTZ324459</t>
  </si>
  <si>
    <t>RAPROEX GLOBAL PTE. LTD.</t>
  </si>
  <si>
    <t>DAP LAXMI</t>
  </si>
  <si>
    <t>M208/PIL/2025</t>
  </si>
  <si>
    <t>MYANMAR</t>
  </si>
  <si>
    <t>PDCLRGBRG0044-25 PINNACLE</t>
  </si>
  <si>
    <t>19.06.25</t>
  </si>
  <si>
    <t>BLACK MAPTE FAQ</t>
  </si>
  <si>
    <t>824/MT</t>
  </si>
  <si>
    <t>02.07.25</t>
  </si>
  <si>
    <t>13.07.25</t>
  </si>
  <si>
    <t>M209/PIL/2025</t>
  </si>
  <si>
    <t>PDCLRGBRG004325 PINNACLE</t>
  </si>
  <si>
    <t>BUA0344253</t>
  </si>
  <si>
    <t>Company</t>
  </si>
  <si>
    <t>supplier</t>
  </si>
  <si>
    <t>LC details</t>
  </si>
  <si>
    <t>BL No/ LR no</t>
  </si>
  <si>
    <t>Material</t>
  </si>
  <si>
    <t>Qty</t>
  </si>
  <si>
    <t>inv sent</t>
  </si>
  <si>
    <t>No. of containers</t>
  </si>
  <si>
    <t>kol/viz</t>
  </si>
  <si>
    <t>Bir arriv</t>
  </si>
  <si>
    <t>Free upto</t>
  </si>
  <si>
    <t>Remarks</t>
  </si>
  <si>
    <t>Document rec date</t>
  </si>
  <si>
    <t>60 DAYS PAYMENT</t>
  </si>
  <si>
    <t>INDIA</t>
  </si>
  <si>
    <t>TOXINFIX PLUS</t>
  </si>
  <si>
    <t>18-07-23</t>
  </si>
  <si>
    <t>19-07-23</t>
  </si>
  <si>
    <t>ok credit</t>
  </si>
  <si>
    <t>21-07-23</t>
  </si>
  <si>
    <t>TATA</t>
  </si>
  <si>
    <t>ADVANCE</t>
  </si>
  <si>
    <t>MP33T1855, PASHUPATI</t>
  </si>
  <si>
    <t>17-07-23</t>
  </si>
  <si>
    <t>CHANGLI HK</t>
  </si>
  <si>
    <t>EB0011FOU03235</t>
  </si>
  <si>
    <t>MEDUQC142468</t>
  </si>
  <si>
    <t>30-05-23</t>
  </si>
  <si>
    <t>QUINDAO,CHINA</t>
  </si>
  <si>
    <t>L-VALINE</t>
  </si>
  <si>
    <t>22-07-23</t>
  </si>
  <si>
    <t>25-07-23</t>
  </si>
  <si>
    <t xml:space="preserve">EVONIK METHIONINE PTE </t>
  </si>
  <si>
    <t>ILC903798002137</t>
  </si>
  <si>
    <t>BSLSINBRJ2306264</t>
  </si>
  <si>
    <t>30-06-23</t>
  </si>
  <si>
    <t>SINGAPORE</t>
  </si>
  <si>
    <t>26-07-23</t>
  </si>
  <si>
    <t>HBLIUIC01790489</t>
  </si>
  <si>
    <t>05.06.2023</t>
  </si>
  <si>
    <t>16271-16272</t>
  </si>
  <si>
    <t>JAMNAGAR</t>
  </si>
  <si>
    <t>PP H030SG POLYPROPYLE (RAFFIA)</t>
  </si>
  <si>
    <t>doc 26-07-23, duty 26-07-23</t>
  </si>
  <si>
    <t>27-07-23</t>
  </si>
  <si>
    <t>001LCIFU23-0156</t>
  </si>
  <si>
    <t>15.05.2023</t>
  </si>
  <si>
    <t>36037, BHAWANI</t>
  </si>
  <si>
    <t>23-07-23</t>
  </si>
  <si>
    <t>BHIWANDI</t>
  </si>
  <si>
    <t>P1030RG PP HOMO RAFFIA,PRADIP</t>
  </si>
  <si>
    <t>24-07-23</t>
  </si>
  <si>
    <t>ok,DUTY 25-07-23</t>
  </si>
  <si>
    <t>doc 24-7-23</t>
  </si>
  <si>
    <t>pgcc</t>
  </si>
  <si>
    <t>001LCIIU23-0172</t>
  </si>
  <si>
    <t>04.07.2023</t>
  </si>
  <si>
    <t>2198, SAVITA</t>
  </si>
  <si>
    <t>KOLKATA</t>
  </si>
  <si>
    <t>PRARAMB AGRI</t>
  </si>
  <si>
    <t>HBLIFX09791138</t>
  </si>
  <si>
    <t>28-03-23</t>
  </si>
  <si>
    <t>MEDULG351421</t>
  </si>
  <si>
    <t>TINCAN/LAGOS NIGERIA</t>
  </si>
  <si>
    <t>SOYBEAN</t>
  </si>
  <si>
    <t>18-05-23</t>
  </si>
  <si>
    <t>1(11)</t>
  </si>
  <si>
    <t>ok, 11 con reach 04-07</t>
  </si>
  <si>
    <t>pbt 11 cont
1 cont pbt</t>
  </si>
  <si>
    <t>13-07-23
27-07-23</t>
  </si>
  <si>
    <t>SUDIMA</t>
  </si>
  <si>
    <t>EB0011FOS03283</t>
  </si>
  <si>
    <t>MEDULO182785</t>
  </si>
  <si>
    <t>LOME, TOGO</t>
  </si>
  <si>
    <t>SOYABEAN</t>
  </si>
  <si>
    <t>14(6)</t>
  </si>
  <si>
    <t>22-06-23</t>
  </si>
  <si>
    <t>28-07-23</t>
  </si>
  <si>
    <t>ok, 6 reach, 14 CON DISP</t>
  </si>
  <si>
    <t>20-07-23</t>
  </si>
  <si>
    <t>31-07-23</t>
  </si>
  <si>
    <t>ROBUST INTERNATIONAL PTE LTD</t>
  </si>
  <si>
    <t>090LCIFS23-0025</t>
  </si>
  <si>
    <t>MEDULG358038</t>
  </si>
  <si>
    <t>21-05-23</t>
  </si>
  <si>
    <t>ONNE, NIGERIA</t>
  </si>
  <si>
    <t>SOYBEAN  SEED</t>
  </si>
  <si>
    <t>MEDULG357998</t>
  </si>
  <si>
    <t>097ILCU80USD0672</t>
  </si>
  <si>
    <t>DSV0392152</t>
  </si>
  <si>
    <t>26-04-23</t>
  </si>
  <si>
    <t>NW, USA</t>
  </si>
  <si>
    <t>MAXIBAN</t>
  </si>
  <si>
    <t>17-05-23</t>
  </si>
  <si>
    <t>30-07-23</t>
  </si>
  <si>
    <t>ok, duty 01-08-23, strike 01,2</t>
  </si>
  <si>
    <t>06.06.23</t>
  </si>
  <si>
    <t>NL-01G-3947
pbt</t>
  </si>
  <si>
    <t>det 03-08 on aman</t>
  </si>
  <si>
    <t>MONTEBAN</t>
  </si>
  <si>
    <t>097ILCU80USD0861</t>
  </si>
  <si>
    <t>DSV0400803</t>
  </si>
  <si>
    <t>COLUMBUS, USA</t>
  </si>
  <si>
    <t>HEMICELL HT</t>
  </si>
  <si>
    <t>ok, duty 04-08
Nepal 04-08-23</t>
  </si>
  <si>
    <t>NL2Q8516
pbt</t>
  </si>
  <si>
    <t>det 04-08 on aman</t>
  </si>
  <si>
    <t>NMB11LC79803614</t>
  </si>
  <si>
    <t>PUNE, INDIA</t>
  </si>
  <si>
    <t>YESAC,OPTIGEN,BIOPLEX</t>
  </si>
  <si>
    <t>ok, strike 1-8.2</t>
  </si>
  <si>
    <t xml:space="preserve"> 097ILCS80USD1833</t>
  </si>
  <si>
    <t>28-05-23</t>
  </si>
  <si>
    <t>HLCUPB3230500581</t>
  </si>
  <si>
    <t>24-05-23</t>
  </si>
  <si>
    <t>LA GUAIRA</t>
  </si>
  <si>
    <t>GMB</t>
  </si>
  <si>
    <t>16-08-23</t>
  </si>
  <si>
    <t>13-08-23</t>
  </si>
  <si>
    <t>ILC903798002142</t>
  </si>
  <si>
    <t>SYDNEY, AUS</t>
  </si>
  <si>
    <t>14-07-23</t>
  </si>
  <si>
    <t>20-08-23</t>
  </si>
  <si>
    <t>EVONIK INDIA</t>
  </si>
  <si>
    <t>090LCIIU23-0030</t>
  </si>
  <si>
    <t>MH48CB5018</t>
  </si>
  <si>
    <t>GUTCARE</t>
  </si>
  <si>
    <t>P02611U544790</t>
  </si>
  <si>
    <t>MH48CB5018, NAVBHARAT</t>
  </si>
  <si>
    <t>FREY</t>
  </si>
  <si>
    <t>HBLIFX09791455</t>
  </si>
  <si>
    <t>16-06-23</t>
  </si>
  <si>
    <t>BALTIMORE, MD</t>
  </si>
  <si>
    <t>19-08-23</t>
  </si>
  <si>
    <t>pbt 13 cont
mukti 5 cont
mukti 2
pbt 3</t>
  </si>
  <si>
    <t>8/8/2023
13-08-23
14-08-23
14-08-23</t>
  </si>
  <si>
    <t xml:space="preserve">RULEXX PETROLEUM </t>
  </si>
  <si>
    <t>EB0011FOU03291</t>
  </si>
  <si>
    <t>MEDUOD365187</t>
  </si>
  <si>
    <t>CONSTANTA, ROMANIA</t>
  </si>
  <si>
    <t>CSFO</t>
  </si>
  <si>
    <t>13-06-23</t>
  </si>
  <si>
    <t>15-08-23</t>
  </si>
  <si>
    <t>PRECOM GLOBAL SA</t>
  </si>
  <si>
    <t>7980002SU0389</t>
  </si>
  <si>
    <t>TEMA, GHANA</t>
  </si>
  <si>
    <t>patwari</t>
  </si>
  <si>
    <t>EB0011FOU03399</t>
  </si>
  <si>
    <t>DAC0114503G, cma</t>
  </si>
  <si>
    <t>NACALA, MOZAMBIC</t>
  </si>
  <si>
    <t xml:space="preserve"> </t>
  </si>
  <si>
    <t>SHANGHAI NUVIT BIO-TECH</t>
  </si>
  <si>
    <t>P02621S503490</t>
  </si>
  <si>
    <t>QINGDAO, CHINA</t>
  </si>
  <si>
    <t>L-LYSINE MONO</t>
  </si>
  <si>
    <t>22-08-23</t>
  </si>
  <si>
    <t>pbtwest</t>
  </si>
  <si>
    <t>VIPPY</t>
  </si>
  <si>
    <t>ILC903808100051</t>
  </si>
  <si>
    <t>UP75AT6748</t>
  </si>
  <si>
    <t>kohalpur</t>
  </si>
  <si>
    <t>UP75AT3521,UP75BT5581</t>
  </si>
  <si>
    <t>P02621U522690</t>
  </si>
  <si>
    <t>21-06-23</t>
  </si>
  <si>
    <t xml:space="preserve">BSLSINBRG2307292   </t>
  </si>
  <si>
    <t>15-07-23</t>
  </si>
  <si>
    <t>29-08-23</t>
  </si>
  <si>
    <t>17-08-23</t>
  </si>
  <si>
    <t>P02621S458690</t>
  </si>
  <si>
    <t>21.04.2023</t>
  </si>
  <si>
    <t>DLN0144623, CMA</t>
  </si>
  <si>
    <t>L THREONINE</t>
  </si>
  <si>
    <t>26-08-23</t>
  </si>
  <si>
    <t>18-08-23</t>
  </si>
  <si>
    <t>HBLIFX09791531</t>
  </si>
  <si>
    <t>26-06-23</t>
  </si>
  <si>
    <t>MEDUOD365757</t>
  </si>
  <si>
    <t>CRUDE SUNFLOWER OIL</t>
  </si>
  <si>
    <t>MANDALA TRADING PTY</t>
  </si>
  <si>
    <t>P02621S498390</t>
  </si>
  <si>
    <t>AUSTRALIA</t>
  </si>
  <si>
    <t>21-08-23</t>
  </si>
  <si>
    <t>23-08-23</t>
  </si>
  <si>
    <t>27-08-23</t>
  </si>
  <si>
    <t>EB0011FOU03256</t>
  </si>
  <si>
    <t>BSLSINBRG2306231</t>
  </si>
  <si>
    <t>14-06-23</t>
  </si>
  <si>
    <t>20-06-23</t>
  </si>
  <si>
    <t>BAF PREMIKS</t>
  </si>
  <si>
    <t>EB0011FOU03310</t>
  </si>
  <si>
    <t>MEDUU8104397</t>
  </si>
  <si>
    <t>ISKUN</t>
  </si>
  <si>
    <t>KEYTOX, GREEN YEAST</t>
  </si>
  <si>
    <t>14-08-23</t>
  </si>
  <si>
    <t>30-08-23</t>
  </si>
  <si>
    <t>SOLTEX PETROPRODUCTS LTD</t>
  </si>
  <si>
    <t>001LCIIU23-0215</t>
  </si>
  <si>
    <t>20.08.2023</t>
  </si>
  <si>
    <t>T30010535, Trination</t>
  </si>
  <si>
    <t>25-08-23</t>
  </si>
  <si>
    <t>Kolkata, India</t>
  </si>
  <si>
    <t>31-08-23</t>
  </si>
  <si>
    <t>005LCNI23070564</t>
  </si>
  <si>
    <t>FERMA TLE, AUS</t>
  </si>
  <si>
    <t>SHREE AGRO</t>
  </si>
  <si>
    <t>P02621S509890</t>
  </si>
  <si>
    <t>28-08-23</t>
  </si>
  <si>
    <t>001LCIIU23-0216</t>
  </si>
  <si>
    <t>SAITA LOGISTIC</t>
  </si>
  <si>
    <t>Kolkata</t>
  </si>
  <si>
    <t>duty 04-09-23, doc 05-09-23</t>
  </si>
  <si>
    <t>HOLDEN NUTRITION PVT LTD</t>
  </si>
  <si>
    <t>60 DAYS CREDIT</t>
  </si>
  <si>
    <t>THANE, INDIA</t>
  </si>
  <si>
    <t>ENERGYMAX</t>
  </si>
  <si>
    <t>C'est la Vie Commodities FZ LLC,</t>
  </si>
  <si>
    <t>HBLIFX09800096</t>
  </si>
  <si>
    <t>MEDULO212483</t>
  </si>
  <si>
    <t>28-06-23</t>
  </si>
  <si>
    <t>29-08-023</t>
  </si>
  <si>
    <t>18-09-23</t>
  </si>
  <si>
    <t xml:space="preserve">Om Sweets Private Limited </t>
  </si>
  <si>
    <t>P02611S016101</t>
  </si>
  <si>
    <t>30.07.2023</t>
  </si>
  <si>
    <t xml:space="preserve">GLOSARRY ITEM </t>
  </si>
  <si>
    <t>090LCIFU23-0020</t>
  </si>
  <si>
    <t>31-05-23</t>
  </si>
  <si>
    <t>MEDULO217565</t>
  </si>
  <si>
    <t>OK 11-09-23</t>
  </si>
  <si>
    <t>6+4 cont</t>
  </si>
  <si>
    <t>099LCIFS23-0010</t>
  </si>
  <si>
    <t>ELYGNCCU230752, elan</t>
  </si>
  <si>
    <t>Black Matpe( 2 Cont -Dugar)</t>
  </si>
  <si>
    <t>23-09-23</t>
  </si>
  <si>
    <t>EB0011FOS03340</t>
  </si>
  <si>
    <t>MEDULO212491</t>
  </si>
  <si>
    <t>ok 12-09-23</t>
  </si>
  <si>
    <t>14-09-23</t>
  </si>
  <si>
    <t>PARGAN SINGAPORE</t>
  </si>
  <si>
    <t>HBLIFX09800081</t>
  </si>
  <si>
    <t>MEDUE0449797</t>
  </si>
  <si>
    <t>TIANJINXINGANG</t>
  </si>
  <si>
    <t>24-08-23</t>
  </si>
  <si>
    <t>25-09-23</t>
  </si>
  <si>
    <t>20-09-23</t>
  </si>
  <si>
    <t>MEDUE0449805</t>
  </si>
  <si>
    <t>21-09-23</t>
  </si>
  <si>
    <t>CHICK PEAS-1</t>
  </si>
  <si>
    <t>15-09-23</t>
  </si>
  <si>
    <t>28-09-23</t>
  </si>
  <si>
    <t>19-09-23</t>
  </si>
  <si>
    <t>HBLIFX09800075</t>
  </si>
  <si>
    <t>OEA0195822</t>
  </si>
  <si>
    <t>13-09-23</t>
  </si>
  <si>
    <t>17-09-23</t>
  </si>
  <si>
    <t>22-09-23</t>
  </si>
  <si>
    <t>CONNEDIT BUSINESS SOLUTIONS PVT LTD, ( Farmely)</t>
  </si>
  <si>
    <t>P02611U044401</t>
  </si>
  <si>
    <t xml:space="preserve">ROASTED BLACK PEPPER &amp; Dry fruit item </t>
  </si>
  <si>
    <t>24-09-23</t>
  </si>
  <si>
    <t>FANO GROUP</t>
  </si>
  <si>
    <t>ILC903798002141</t>
  </si>
  <si>
    <t>127D502265, wanhai</t>
  </si>
  <si>
    <t>ok, unload dryport 08-09-23, ip pending</t>
  </si>
  <si>
    <t>DHIRENDRA SOYA</t>
  </si>
  <si>
    <t>097ILCS81INR0130</t>
  </si>
  <si>
    <t>RJ09GC7441</t>
  </si>
  <si>
    <t>SOYBEAN MEAL HIPRO</t>
  </si>
  <si>
    <t>24-9-23</t>
  </si>
  <si>
    <t>SEDACO DMCC</t>
  </si>
  <si>
    <t>DAP, PRABHU</t>
  </si>
  <si>
    <t>DAC0114459</t>
  </si>
  <si>
    <t>MOZAMBIQUE</t>
  </si>
  <si>
    <t>26-09-23</t>
  </si>
  <si>
    <t>RULEXX PETROLEUM FZE</t>
  </si>
  <si>
    <t>HBLIFX097980080</t>
  </si>
  <si>
    <t>MEDUOD367464</t>
  </si>
  <si>
    <t>27-09-23</t>
  </si>
  <si>
    <t>P00111U065301</t>
  </si>
  <si>
    <t>17.09.2023</t>
  </si>
  <si>
    <t>SAVITA LOGISTIC</t>
  </si>
  <si>
    <t>SANCHI CEREALS P LTD</t>
  </si>
  <si>
    <t>BASMATI RICE</t>
  </si>
  <si>
    <t>SR162LC-0121/23</t>
  </si>
  <si>
    <t>EB0011FOU03496</t>
  </si>
  <si>
    <t>MEDULO219017</t>
  </si>
  <si>
    <t>IUDF01123USD1968</t>
  </si>
  <si>
    <t>10.07.2023</t>
  </si>
  <si>
    <t>BHAWANI ROAD CARRIER</t>
  </si>
  <si>
    <t>india</t>
  </si>
  <si>
    <t>1030RG HOMO RAFFIA</t>
  </si>
  <si>
    <t>ok, duty 01-10-23</t>
  </si>
  <si>
    <t>29-09-23</t>
  </si>
  <si>
    <t>pgc gandak</t>
  </si>
  <si>
    <t>7980002SU0448</t>
  </si>
  <si>
    <t>14-10-23</t>
  </si>
  <si>
    <t>pbt 15 cont</t>
  </si>
  <si>
    <t>IUDF01123USD2266</t>
  </si>
  <si>
    <t>08.08.2023</t>
  </si>
  <si>
    <t>16301 &amp; 16302</t>
  </si>
  <si>
    <t>30.09.2023</t>
  </si>
  <si>
    <t xml:space="preserve">PP H030SG POLYPROPYLENE </t>
  </si>
  <si>
    <t>ok, duty 04-10-23</t>
  </si>
  <si>
    <t>IUDF01123USD2291  </t>
  </si>
  <si>
    <t>10.08.2023</t>
  </si>
  <si>
    <r>
      <t>PP F&amp;F P1350YG</t>
    </r>
    <r>
      <rPr>
        <sz val="10"/>
        <color rgb="FF101010"/>
        <rFont val="Calibri"/>
        <family val="2"/>
        <scheme val="minor"/>
      </rPr>
      <t> </t>
    </r>
  </si>
  <si>
    <t>ok, duty 06-10-23</t>
  </si>
  <si>
    <t xml:space="preserve">FERTINVEST DMCC </t>
  </si>
  <si>
    <t>EB0011FOU03440</t>
  </si>
  <si>
    <t>MEDUEB095556</t>
  </si>
  <si>
    <t>BEIRA, MOZAMBIC</t>
  </si>
  <si>
    <t>OKAYA</t>
  </si>
  <si>
    <t>SCOOTY</t>
  </si>
  <si>
    <t>unload at custom 15-09-23, yatayat req</t>
  </si>
  <si>
    <t>KTM</t>
  </si>
  <si>
    <t>ADV TT</t>
  </si>
  <si>
    <t>301602495 PASHUPATI</t>
  </si>
  <si>
    <t>MITHAPUR</t>
  </si>
  <si>
    <t>13-10-23</t>
  </si>
  <si>
    <t>P02611U079901</t>
  </si>
  <si>
    <t>30-09-23</t>
  </si>
  <si>
    <t>YEASACC</t>
  </si>
  <si>
    <t>25-10-23</t>
  </si>
  <si>
    <t>IUDF01123USD2290  </t>
  </si>
  <si>
    <r>
      <t>PP HOMO RAFFIA P1030RG</t>
    </r>
    <r>
      <rPr>
        <sz val="10"/>
        <color rgb="FF101010"/>
        <rFont val="Calibri"/>
        <family val="2"/>
        <scheme val="minor"/>
      </rPr>
      <t xml:space="preserve"> </t>
    </r>
  </si>
  <si>
    <t>server issue</t>
  </si>
  <si>
    <t xml:space="preserve">SHREESHYAM OLEO </t>
  </si>
  <si>
    <t>EB0011FOS03474</t>
  </si>
  <si>
    <t>2301/2023-24</t>
  </si>
  <si>
    <t>15-10-23</t>
  </si>
  <si>
    <t>17-10-23</t>
  </si>
  <si>
    <t>29-10-23</t>
  </si>
  <si>
    <t>INDUSTRIAL TECNICA PECUARIA, S.A.</t>
  </si>
  <si>
    <t>EB0011FOU03379</t>
  </si>
  <si>
    <t>MEDUD8295922</t>
  </si>
  <si>
    <t>13-07-23</t>
  </si>
  <si>
    <t>BARCELONA, SPAIN</t>
  </si>
  <si>
    <t>FUNGICAP, OXICAP</t>
  </si>
  <si>
    <t>23-10-23</t>
  </si>
  <si>
    <t>28-10-23</t>
  </si>
  <si>
    <t>CJ CHEILJEDANG</t>
  </si>
  <si>
    <t xml:space="preserve">B002/UU0092 </t>
  </si>
  <si>
    <t>DLN0152907</t>
  </si>
  <si>
    <t>16-10-23</t>
  </si>
  <si>
    <t>26-10-23</t>
  </si>
  <si>
    <t>31-10-23</t>
  </si>
  <si>
    <t>B002UU0091</t>
  </si>
  <si>
    <t>BSLSINBRG2309378,bluesky</t>
  </si>
  <si>
    <t>19-10-23</t>
  </si>
  <si>
    <t>009LCIFS23-0011</t>
  </si>
  <si>
    <t>YGNCB23004784, RCL</t>
  </si>
  <si>
    <t>Black Matpe</t>
  </si>
  <si>
    <t>pbt 3 cont
nicpl 2 con</t>
  </si>
  <si>
    <t>SR162LC023023</t>
  </si>
  <si>
    <t>BSLSINBRG2309377,bluesky</t>
  </si>
  <si>
    <t>MK MERCHANTS EAST TARIM</t>
  </si>
  <si>
    <t>HBLIFX09800112</t>
  </si>
  <si>
    <t>MEDURD354292</t>
  </si>
  <si>
    <t>TURKEY</t>
  </si>
  <si>
    <t>Rapeseed</t>
  </si>
  <si>
    <t>14-11-23</t>
  </si>
  <si>
    <t>ILC903808100026</t>
  </si>
  <si>
    <t>MEDUFA310939</t>
  </si>
  <si>
    <t>QINDAO, CHINA</t>
  </si>
  <si>
    <t>19-11-23</t>
  </si>
  <si>
    <t>ILC903808100449</t>
  </si>
  <si>
    <t>4 cont not reach</t>
  </si>
  <si>
    <t>ILC903808100405</t>
  </si>
  <si>
    <t>SHRI RAM BIOSEED</t>
  </si>
  <si>
    <t>P02611U093101</t>
  </si>
  <si>
    <t>15284 SRIRAMA</t>
  </si>
  <si>
    <t>21-10-23</t>
  </si>
  <si>
    <t>MAIZE SEED</t>
  </si>
  <si>
    <t>30-10-23</t>
  </si>
  <si>
    <t>B002UU00122</t>
  </si>
  <si>
    <t>BSLSINBRG2310398,bluesky</t>
  </si>
  <si>
    <t>ADITYA BIRLA</t>
  </si>
  <si>
    <t>EB0011FOS03428</t>
  </si>
  <si>
    <t>OEA0196085A</t>
  </si>
  <si>
    <t>UKRANIAN RAPESEED</t>
  </si>
  <si>
    <t>20-10-23</t>
  </si>
  <si>
    <t>17-11-23</t>
  </si>
  <si>
    <t>090LCIFU23-0035</t>
  </si>
  <si>
    <t>MEDULG380644</t>
  </si>
  <si>
    <t>TINCAN, NIGERIA</t>
  </si>
  <si>
    <t>KEMIN IND. SOUTH</t>
  </si>
  <si>
    <t>EB0011FOU03609</t>
  </si>
  <si>
    <t>NUTRIKEM XL PRO DRY</t>
  </si>
  <si>
    <t>P02611S089701</t>
  </si>
  <si>
    <t>TCIFRGHT, 201966472,201966483</t>
  </si>
  <si>
    <t>27-10-23</t>
  </si>
  <si>
    <t>OKAYA EV PRIVATE LIMITED</t>
  </si>
  <si>
    <t>P02611S084401</t>
  </si>
  <si>
    <t>SONALI POLYPLASTIC</t>
  </si>
  <si>
    <t>P00111U095201</t>
  </si>
  <si>
    <t>11.10.2023</t>
  </si>
  <si>
    <t>CC FMB &amp; COLOUR MASTERBATCH</t>
  </si>
  <si>
    <t>18-10-23</t>
  </si>
  <si>
    <t>doc ok</t>
  </si>
  <si>
    <t>SHREESHYAM OLEO CHEMICALS PVT LTD</t>
  </si>
  <si>
    <t>P00111U095101</t>
  </si>
  <si>
    <t>PGC HTD</t>
  </si>
  <si>
    <t>HBLIRIC01800870</t>
  </si>
  <si>
    <t>30.10.2023</t>
  </si>
  <si>
    <t>STYRENE MONOME</t>
  </si>
  <si>
    <t>16-11-23</t>
  </si>
  <si>
    <t>HBLIRIC01800871</t>
  </si>
  <si>
    <t>CHEMICALS</t>
  </si>
  <si>
    <t>TRC INTERNATIONAL</t>
  </si>
  <si>
    <t>HBLIFX09800145</t>
  </si>
  <si>
    <t>HLCUUAO230700392</t>
  </si>
  <si>
    <t>RENI, UKRAINE</t>
  </si>
  <si>
    <t>20-11-23</t>
  </si>
  <si>
    <t>DHIRENDRA</t>
  </si>
  <si>
    <t>ILC903808100571</t>
  </si>
  <si>
    <t>pbt&amp;balaji</t>
  </si>
  <si>
    <t>097ILCS81NPR269</t>
  </si>
  <si>
    <t>Savera Commodities Pte Ltd</t>
  </si>
  <si>
    <t>B002/SUOO87</t>
  </si>
  <si>
    <t>MEDUQ8438051</t>
  </si>
  <si>
    <t>CANADA</t>
  </si>
  <si>
    <t>13-11-23</t>
  </si>
  <si>
    <t>26-11-23</t>
  </si>
  <si>
    <t>ok, reach 5 cont+5</t>
  </si>
  <si>
    <t>21-11-23</t>
  </si>
  <si>
    <t>7 pbt,3 mahavir</t>
  </si>
  <si>
    <t>NMB21LC80810782</t>
  </si>
  <si>
    <t>157-99680394</t>
  </si>
  <si>
    <t>PULMOTIL</t>
  </si>
  <si>
    <t>1560 kgs</t>
  </si>
  <si>
    <t>24-11-23</t>
  </si>
  <si>
    <t>HBLIFX09800198</t>
  </si>
  <si>
    <t>OEA0196082</t>
  </si>
  <si>
    <t>16-09-23</t>
  </si>
  <si>
    <t>pbt6 &amp;5</t>
  </si>
  <si>
    <t>24&amp;25-11-23</t>
  </si>
  <si>
    <t>VAN AARSEN</t>
  </si>
  <si>
    <t>EB0011FOS03282</t>
  </si>
  <si>
    <t>NINCCU105859</t>
  </si>
  <si>
    <t>SPARE PARTS</t>
  </si>
  <si>
    <t>22-10-23</t>
  </si>
  <si>
    <t>25-11-23</t>
  </si>
  <si>
    <t>NATUREUP</t>
  </si>
  <si>
    <t>ILC903808100176</t>
  </si>
  <si>
    <t>om logistic</t>
  </si>
  <si>
    <t>COCONUT POWDER</t>
  </si>
  <si>
    <t>28-11-23</t>
  </si>
  <si>
    <t>OEA0196085B</t>
  </si>
  <si>
    <t>awadh 5 cont</t>
  </si>
  <si>
    <t>27-11-23</t>
  </si>
  <si>
    <t>6 cont chainpur 28-11-23</t>
  </si>
  <si>
    <t>EXPORT IMPORT</t>
  </si>
  <si>
    <t>SR162LC-0199/23</t>
  </si>
  <si>
    <t>MEDUGR546961</t>
  </si>
  <si>
    <t>30-11-23</t>
  </si>
  <si>
    <t>GOLDEN GAIN GROUP</t>
  </si>
  <si>
    <t>EB0011FOS03427</t>
  </si>
  <si>
    <t>DLN0154166</t>
  </si>
  <si>
    <t>162LCIM-0062/23</t>
  </si>
  <si>
    <t>AEL1620360</t>
  </si>
  <si>
    <t>29-11-23</t>
  </si>
  <si>
    <t>P02621S067801</t>
  </si>
  <si>
    <t>FLETCHER</t>
  </si>
  <si>
    <t>099LCIFS23-0014</t>
  </si>
  <si>
    <t>04.10.2023</t>
  </si>
  <si>
    <t>AEL1627834</t>
  </si>
  <si>
    <t>HLCUUAO230800898</t>
  </si>
  <si>
    <t>17-12-23</t>
  </si>
  <si>
    <t>ILC903808100651</t>
  </si>
  <si>
    <t>7271,7972,0798</t>
  </si>
  <si>
    <t>DEWAS</t>
  </si>
  <si>
    <t>PBTWEST</t>
  </si>
  <si>
    <t>5675,5785,5673</t>
  </si>
  <si>
    <t>P02621U075701</t>
  </si>
  <si>
    <t>VASSINBRG018130,GOODRICH</t>
  </si>
  <si>
    <t>B002/SU0154</t>
  </si>
  <si>
    <t>HLCUUAO230800781</t>
  </si>
  <si>
    <t>ROMANIA</t>
  </si>
  <si>
    <t>5 cont 07-12, 5 con 08-12</t>
  </si>
  <si>
    <t>097ILCU81USD0186</t>
  </si>
  <si>
    <t>MEDUFA593971</t>
  </si>
  <si>
    <t>19-12-23</t>
  </si>
  <si>
    <t>OEA0196785B</t>
  </si>
  <si>
    <t>P02611U133201</t>
  </si>
  <si>
    <t>524304430, SUGAM</t>
  </si>
  <si>
    <t>KOLKATA, INDIA</t>
  </si>
  <si>
    <t>BIOPLEX HIGH SEVEN</t>
  </si>
  <si>
    <t>13-12-23</t>
  </si>
  <si>
    <t>OEA0196785A</t>
  </si>
  <si>
    <t>14-12-23</t>
  </si>
  <si>
    <t>4 cont, 4 cont 15-12</t>
  </si>
  <si>
    <t>EB0011FOS03459</t>
  </si>
  <si>
    <t>L-LYSINE SHALPHATE</t>
  </si>
  <si>
    <t>dryport unload</t>
  </si>
  <si>
    <t>15-12-23</t>
  </si>
  <si>
    <t>26-12-23</t>
  </si>
  <si>
    <t>RULEXX</t>
  </si>
  <si>
    <t>EB0011FOU03592</t>
  </si>
  <si>
    <t>OEA0196970</t>
  </si>
  <si>
    <t>22-12-23</t>
  </si>
  <si>
    <t>21-12-23</t>
  </si>
  <si>
    <t>pbt 6 cont</t>
  </si>
  <si>
    <t>27-12-23</t>
  </si>
  <si>
    <t>pbt 5 con</t>
  </si>
  <si>
    <t>28-12-23</t>
  </si>
  <si>
    <t>011-59737, 011-16579ip</t>
  </si>
  <si>
    <t>2ETHYL HEXYL</t>
  </si>
  <si>
    <t>5510kgs</t>
  </si>
  <si>
    <t>04-12-23, dutyok</t>
  </si>
  <si>
    <t>1116578ip</t>
  </si>
  <si>
    <t>1330kgs</t>
  </si>
  <si>
    <t>P02611U148001</t>
  </si>
  <si>
    <t>2023-24/014</t>
  </si>
  <si>
    <t>20-12-23</t>
  </si>
  <si>
    <t>SHRIRAM BIOSEED</t>
  </si>
  <si>
    <t>P02611U155101</t>
  </si>
  <si>
    <t>CORN</t>
  </si>
  <si>
    <t>29-12-23</t>
  </si>
  <si>
    <t>LINYI</t>
  </si>
  <si>
    <t>P02621M070701</t>
  </si>
  <si>
    <t>QGD0501139</t>
  </si>
  <si>
    <t>AGRICULTURAL SPRAYER TANK</t>
  </si>
  <si>
    <t>25-12-23</t>
  </si>
  <si>
    <t>30-12-23</t>
  </si>
  <si>
    <t>OMEGA</t>
  </si>
  <si>
    <t>P00111U156801</t>
  </si>
  <si>
    <t>18.12.2023</t>
  </si>
  <si>
    <t>POLYPROPYLENE COMPOUND</t>
  </si>
  <si>
    <t>Dhirendra Soya Agro Pvt Ltd</t>
  </si>
  <si>
    <t>ILC903808100761</t>
  </si>
  <si>
    <t>Soyabean Meal</t>
  </si>
  <si>
    <t>0010TTFC009841</t>
  </si>
  <si>
    <t>157-9871 8163, QATAR AIR</t>
  </si>
  <si>
    <t>19-12-2023</t>
  </si>
  <si>
    <t>VARIOUS</t>
  </si>
  <si>
    <t>LCL</t>
  </si>
  <si>
    <t>pbt ktm</t>
  </si>
  <si>
    <t>SR162LC-0209/23</t>
  </si>
  <si>
    <t>MEDUFA627928</t>
  </si>
  <si>
    <t>23-12-23</t>
  </si>
  <si>
    <t>3 con sns gandak, 1 con ngaht</t>
  </si>
  <si>
    <t>ILC903808100637</t>
  </si>
  <si>
    <t>23-11-23</t>
  </si>
  <si>
    <t>SHRIRAM</t>
  </si>
  <si>
    <t>P02611U171001</t>
  </si>
  <si>
    <t>2023-24/017</t>
  </si>
  <si>
    <t>099LCIFS23-0016</t>
  </si>
  <si>
    <t>ELG/RGN/CCU-556/23,ELAN</t>
  </si>
  <si>
    <t>BLACK MAPTE</t>
  </si>
  <si>
    <t>18-01-24</t>
  </si>
  <si>
    <t>DG GLOBAL</t>
  </si>
  <si>
    <t>HBLIFX09800536</t>
  </si>
  <si>
    <t>MEDUQ8547596</t>
  </si>
  <si>
    <t>BLACK SOYBEANS</t>
  </si>
  <si>
    <t>22-01-24</t>
  </si>
  <si>
    <t>GRAF</t>
  </si>
  <si>
    <t>TT ADV</t>
  </si>
  <si>
    <t>SEA44/2311-0401</t>
  </si>
  <si>
    <t>15-11-23</t>
  </si>
  <si>
    <t>GERMANY</t>
  </si>
  <si>
    <t>SUNSHINE OIL</t>
  </si>
  <si>
    <t>HBLIFXC01800645</t>
  </si>
  <si>
    <t>SHU/BIR/1123/472</t>
  </si>
  <si>
    <t>FREY P/S</t>
  </si>
  <si>
    <t>B002/SU0190</t>
  </si>
  <si>
    <t>BALTIMORE,USA</t>
  </si>
  <si>
    <t>Soybean Seed,BULK</t>
  </si>
  <si>
    <t>17-01-24</t>
  </si>
  <si>
    <t>30-01-24</t>
  </si>
  <si>
    <t>21-01-24</t>
  </si>
  <si>
    <t>25-01-24</t>
  </si>
  <si>
    <t>097ILCS81INR0425</t>
  </si>
  <si>
    <t>16-01-24</t>
  </si>
  <si>
    <t>RAKE</t>
  </si>
  <si>
    <t>23-01-24</t>
  </si>
  <si>
    <t>301602691 PASHUPATI</t>
  </si>
  <si>
    <t>19-01-24</t>
  </si>
  <si>
    <t>26-01-24</t>
  </si>
  <si>
    <t>28-01-24</t>
  </si>
  <si>
    <t>EB0011FOU03689</t>
  </si>
  <si>
    <t>VASSINBRG018638</t>
  </si>
  <si>
    <t>P02621U147901</t>
  </si>
  <si>
    <t>VASSINBRG018646</t>
  </si>
  <si>
    <t>HBLIRIC01801412</t>
  </si>
  <si>
    <t>JH98BC1156</t>
  </si>
  <si>
    <t>CC FMB &amp; MASTER BATCH</t>
  </si>
  <si>
    <t>31-01-24</t>
  </si>
  <si>
    <t>doc 01-02-24, duty 02-02-24, 1pm</t>
  </si>
  <si>
    <t>ADISSEO ASIA PACIFIC SINGAPORE</t>
  </si>
  <si>
    <t>HBLIFX09800696</t>
  </si>
  <si>
    <t>VASSINBRG018556</t>
  </si>
  <si>
    <t>VARIOUS VIT</t>
  </si>
  <si>
    <t>60 DAY</t>
  </si>
  <si>
    <t>VINAY CARGO 452852</t>
  </si>
  <si>
    <t>15-01-24</t>
  </si>
  <si>
    <t>BUTYHOLD, ENERGYMAX</t>
  </si>
  <si>
    <t>IG PETROCHEMICALS</t>
  </si>
  <si>
    <t>P00121U190901</t>
  </si>
  <si>
    <t>18.01.2024</t>
  </si>
  <si>
    <t>453-602606, 453-602607</t>
  </si>
  <si>
    <t>30-01-24,pashupati</t>
  </si>
  <si>
    <t>PA</t>
  </si>
  <si>
    <t>pgchtd</t>
  </si>
  <si>
    <t>P02611S174301</t>
  </si>
  <si>
    <t>OKAYA EV SCOOTER</t>
  </si>
  <si>
    <t>32 scooty, 28 scooty ktm</t>
  </si>
  <si>
    <t>15-02-24</t>
  </si>
  <si>
    <t>P02611S174201</t>
  </si>
  <si>
    <t>HBLIRIC01801413</t>
  </si>
  <si>
    <t>2450 SAVITA</t>
  </si>
  <si>
    <t xml:space="preserve">CC FMB </t>
  </si>
  <si>
    <t>13-02-24</t>
  </si>
  <si>
    <t>ok , duty ok</t>
  </si>
  <si>
    <t>EB0011FOU03677</t>
  </si>
  <si>
    <t>OEA0198140D</t>
  </si>
  <si>
    <t>CONSTANTA</t>
  </si>
  <si>
    <t>20-02-24</t>
  </si>
  <si>
    <t>19-02-24</t>
  </si>
  <si>
    <t>21-02-24</t>
  </si>
  <si>
    <t>22-02-24</t>
  </si>
  <si>
    <t>24-02-24</t>
  </si>
  <si>
    <t>HBDFX09800665</t>
  </si>
  <si>
    <t>USA</t>
  </si>
  <si>
    <t>SOYBEAN MEAL,BULK</t>
  </si>
  <si>
    <t>sns nght 3c
kailaspati tadi 2c
kailaspati tadi 2c
sns nght 1c
chainpur 4c
chainpur 4c
sns nght 3c
sns nght 1c</t>
  </si>
  <si>
    <t>25/2/2024
25-02-24
26-02-24
27-02-24
27-02-24
28-02-24
29-02-24
01-03-24</t>
  </si>
  <si>
    <t>EB0011FOS03589</t>
  </si>
  <si>
    <t>TWN0823158</t>
  </si>
  <si>
    <t>TAIWAN</t>
  </si>
  <si>
    <t>SORGHUM</t>
  </si>
  <si>
    <t>25-02-24</t>
  </si>
  <si>
    <t>16-03-24</t>
  </si>
  <si>
    <t>18-02-24</t>
  </si>
  <si>
    <t>162LCIM-0216/24</t>
  </si>
  <si>
    <t>BIOPLEX,OPTIGEN</t>
  </si>
  <si>
    <t>28-02-024</t>
  </si>
  <si>
    <t>P02611U228701</t>
  </si>
  <si>
    <t>BR01GE2147</t>
  </si>
  <si>
    <t>26-02-24</t>
  </si>
  <si>
    <t>24-01-24</t>
  </si>
  <si>
    <t>22-03-24</t>
  </si>
  <si>
    <t>pbt 5 cont
pbt 10 cont
pbt 4 cont</t>
  </si>
  <si>
    <t>12/3/2024
14-03-24
15-03-24</t>
  </si>
  <si>
    <t>A M T GREEN CANYON TRADING LLC</t>
  </si>
  <si>
    <t xml:space="preserve">Coriander </t>
  </si>
  <si>
    <t>28-02-24</t>
  </si>
  <si>
    <t>13-03-24</t>
  </si>
  <si>
    <t>26-03-24</t>
  </si>
  <si>
    <t>15-03-24</t>
  </si>
  <si>
    <t>nandani traders bypas</t>
  </si>
  <si>
    <t>20-03-24</t>
  </si>
  <si>
    <t>GALAXY CHEMICALS</t>
  </si>
  <si>
    <t>001LCIIU24-0044</t>
  </si>
  <si>
    <t>11.02.2024</t>
  </si>
  <si>
    <t>7500040868 mata</t>
  </si>
  <si>
    <t>23-02-24</t>
  </si>
  <si>
    <t>India</t>
  </si>
  <si>
    <t>MIX XYLENE</t>
  </si>
  <si>
    <t>MEDUQ8553610</t>
  </si>
  <si>
    <t>22-11-23</t>
  </si>
  <si>
    <t>BLACK SOYBEANS,BAGS</t>
  </si>
  <si>
    <t>17-03-24</t>
  </si>
  <si>
    <t>31-03-24</t>
  </si>
  <si>
    <t>19-03-24</t>
  </si>
  <si>
    <t>HBLIFX09800537</t>
  </si>
  <si>
    <t>MEDUQ8554121</t>
  </si>
  <si>
    <t>LARGE SOYABEANS,BAGS</t>
  </si>
  <si>
    <t>P02621S167001</t>
  </si>
  <si>
    <t>29-02-24</t>
  </si>
  <si>
    <t>28-03-24</t>
  </si>
  <si>
    <t>EB0011FOS03547</t>
  </si>
  <si>
    <t>MEDUQ8572917</t>
  </si>
  <si>
    <t>SOYBEAN, BULK</t>
  </si>
  <si>
    <t>20(19)</t>
  </si>
  <si>
    <t>ok, 19 cont disp,
segu2966332 pending</t>
  </si>
  <si>
    <t>pbt 10 cont
pbt 9 cont</t>
  </si>
  <si>
    <t>20-03-24
21-03-24</t>
  </si>
  <si>
    <t>B002/SU0270</t>
  </si>
  <si>
    <t>AEL1661686</t>
  </si>
  <si>
    <t xml:space="preserve">
pbt 5 cont
PBT 13 CONT
pbt 4 cont</t>
  </si>
  <si>
    <t>21-03-24
22-03-24
27-03-24</t>
  </si>
  <si>
    <t>P02621U167201</t>
  </si>
  <si>
    <t xml:space="preserve">ONEYSINE02754400 </t>
  </si>
  <si>
    <t>21-03-24</t>
  </si>
  <si>
    <t>KEMIN</t>
  </si>
  <si>
    <t>HBLIRI09801781</t>
  </si>
  <si>
    <t>988303676 tci</t>
  </si>
  <si>
    <t>14-03-24</t>
  </si>
  <si>
    <t>TOXIFIN 360</t>
  </si>
  <si>
    <t>23-03-24</t>
  </si>
  <si>
    <t>HBLIFX09800787</t>
  </si>
  <si>
    <t xml:space="preserve">ONEYSINE02749800 </t>
  </si>
  <si>
    <t>13-04-24</t>
  </si>
  <si>
    <t>EB0011FOU03871</t>
  </si>
  <si>
    <t>425300090 SUGAM</t>
  </si>
  <si>
    <t>ORGANIMIN
RUMIYEAST</t>
  </si>
  <si>
    <t>7
3</t>
  </si>
  <si>
    <t>30-03-24</t>
  </si>
  <si>
    <t>29-03-24</t>
  </si>
  <si>
    <t>ND CHEMICALS CO.LTD</t>
  </si>
  <si>
    <t>B002/SU0217</t>
  </si>
  <si>
    <t>MEDUEG119294</t>
  </si>
  <si>
    <t>27-01-24</t>
  </si>
  <si>
    <t>27-03-24</t>
  </si>
  <si>
    <t>INNOVISTA</t>
  </si>
  <si>
    <t>HBLIRI09801759</t>
  </si>
  <si>
    <t>402304136 SUGAM</t>
  </si>
  <si>
    <t>18-03-24</t>
  </si>
  <si>
    <t>NEO POWDER
MADUMAX-B</t>
  </si>
  <si>
    <t>3
7</t>
  </si>
  <si>
    <t>25-03-24</t>
  </si>
  <si>
    <t>jss int bypass</t>
  </si>
  <si>
    <t>HBLIFX09800828</t>
  </si>
  <si>
    <t>MEDULG406548</t>
  </si>
  <si>
    <t>NIGERIA</t>
  </si>
  <si>
    <t>SOYABEAN, BAGS</t>
  </si>
  <si>
    <t>15-04-24</t>
  </si>
  <si>
    <t>MEDULG407660</t>
  </si>
  <si>
    <t>LAGOS</t>
  </si>
  <si>
    <t>SOYBEANS, BAGS</t>
  </si>
  <si>
    <t xml:space="preserve">INDIAN OIL </t>
  </si>
  <si>
    <t>001LCIFU24-0037</t>
  </si>
  <si>
    <t>04.02.2024</t>
  </si>
  <si>
    <t>HR45C-6053, UP12AT-7374</t>
  </si>
  <si>
    <t>PP 1350YG PP F &amp; F PARADIP</t>
  </si>
  <si>
    <t>6053 REACH 02-01-24 RXL
7374 rxl 05-04-24</t>
  </si>
  <si>
    <t>duty 04-04-24</t>
  </si>
  <si>
    <t>pgc 1 truck
PGC 1 TRUCK</t>
  </si>
  <si>
    <t>5/4/2024
08-04-24</t>
  </si>
  <si>
    <t>HBLIFX09800837</t>
  </si>
  <si>
    <t>MEDULO250137</t>
  </si>
  <si>
    <t>chainpur 10 cont
CHAINPUR 10 CONT</t>
  </si>
  <si>
    <t>10/4/2024
11-04-24</t>
  </si>
  <si>
    <t>URJA</t>
  </si>
  <si>
    <t>HBLIRI09801072</t>
  </si>
  <si>
    <t>453602704,453602703 pashupati</t>
  </si>
  <si>
    <t>TRANSFORMER,VCB</t>
  </si>
  <si>
    <t>PBT &amp; HTD</t>
  </si>
  <si>
    <t>001LCIFU24-0062</t>
  </si>
  <si>
    <t>25.02.2024</t>
  </si>
  <si>
    <t xml:space="preserve">PP HOMO RAFFIA P1030RG </t>
  </si>
  <si>
    <t>PO2611U271801</t>
  </si>
  <si>
    <t>524 304515 SUGAM</t>
  </si>
  <si>
    <t>YEASAC, BIOPLEX, OPTIGEN</t>
  </si>
  <si>
    <t>B002/SU0214</t>
  </si>
  <si>
    <t>MEDUQ8608448</t>
  </si>
  <si>
    <t>20-04-24</t>
  </si>
  <si>
    <t>nwcl 10 cont
nwcl 5 cont
nwcl 5 cont</t>
  </si>
  <si>
    <t>16-04-24
17-04-24
18-04-24</t>
  </si>
  <si>
    <t>3FG</t>
  </si>
  <si>
    <t>HBLIFX09800905</t>
  </si>
  <si>
    <t>OEA0198967K</t>
  </si>
  <si>
    <t>16-04-24</t>
  </si>
  <si>
    <t>29-04-24</t>
  </si>
  <si>
    <t>AOLLEN BIOTECH</t>
  </si>
  <si>
    <t>162LCIM-0193/24</t>
  </si>
  <si>
    <t>19-04-24</t>
  </si>
  <si>
    <t>24-04-24</t>
  </si>
  <si>
    <t>1(19)</t>
  </si>
  <si>
    <t>12/3/2024
12-04-24</t>
  </si>
  <si>
    <t>1/5/2024
20-04-24</t>
  </si>
  <si>
    <t>ok, 19 cont rec,
segu2966332 pending</t>
  </si>
  <si>
    <t>25-04-24</t>
  </si>
  <si>
    <t>HBLIRI09802080</t>
  </si>
  <si>
    <t>TCI 988303794</t>
  </si>
  <si>
    <t>NUTRIKEM</t>
  </si>
  <si>
    <t>18-04-24</t>
  </si>
  <si>
    <t>22-04-24</t>
  </si>
  <si>
    <t>524304515 SUGAM</t>
  </si>
  <si>
    <t>YEASAC,BIOPLEX, OPTIGEN</t>
  </si>
  <si>
    <t>14-04-24</t>
  </si>
  <si>
    <t>JATIA CHEMICALS PVT. LTD.</t>
  </si>
  <si>
    <t>P02611S272801</t>
  </si>
  <si>
    <t>TCIFRT 202004552</t>
  </si>
  <si>
    <t>21-04-24</t>
  </si>
  <si>
    <t>Dicalcium Phosphate Feed Grade</t>
  </si>
  <si>
    <t>26-04-24</t>
  </si>
  <si>
    <t>28-04-24</t>
  </si>
  <si>
    <t>ALLON</t>
  </si>
  <si>
    <t>EB0011F0S03654</t>
  </si>
  <si>
    <t>14-02-24</t>
  </si>
  <si>
    <t>DEMETER</t>
  </si>
  <si>
    <t>EB0011FOS03677</t>
  </si>
  <si>
    <t>AEL1690362</t>
  </si>
  <si>
    <t>27-04-24</t>
  </si>
  <si>
    <t>16-05-24</t>
  </si>
  <si>
    <t>pbt 6 cont
PBT 7 CONT</t>
  </si>
  <si>
    <t>6/5/2024
07-05-24</t>
  </si>
  <si>
    <t>P11111U290201</t>
  </si>
  <si>
    <t>2580,NL01AD0501</t>
  </si>
  <si>
    <t>30-04-24</t>
  </si>
  <si>
    <t>CC</t>
  </si>
  <si>
    <t>P02621S267201</t>
  </si>
  <si>
    <t>AEL1702682</t>
  </si>
  <si>
    <t>23-04-24</t>
  </si>
  <si>
    <t>chainpur 1 cont
chainpur 2 cont
chainpur 1 cont
shivamagro 1 c</t>
  </si>
  <si>
    <t>6/5/2024
08-05-24
10-05-24
10-05-24</t>
  </si>
  <si>
    <t>P02611U295201</t>
  </si>
  <si>
    <t>CIF</t>
  </si>
  <si>
    <t>RESHMA786</t>
  </si>
  <si>
    <t>tcifrgt 202004854</t>
  </si>
  <si>
    <t>CHONGQING</t>
  </si>
  <si>
    <t>22523LS02742</t>
  </si>
  <si>
    <t>24-12-23</t>
  </si>
  <si>
    <t>MAIZE MILLING MACHINE</t>
  </si>
  <si>
    <t>25-05-24</t>
  </si>
  <si>
    <t>15-05-24</t>
  </si>
  <si>
    <t>P02621S186201</t>
  </si>
  <si>
    <t>ONEYDL3CE0088600</t>
  </si>
  <si>
    <t>20-05-24</t>
  </si>
  <si>
    <t>EB0011FOS03678</t>
  </si>
  <si>
    <t>AEL1694334</t>
  </si>
  <si>
    <t>CANOLA BULK</t>
  </si>
  <si>
    <t>14-05-24</t>
  </si>
  <si>
    <t>27-05-24</t>
  </si>
  <si>
    <t>pbt 8 cont
chainpur 4 cont</t>
  </si>
  <si>
    <t>17-05-24
21-05-24</t>
  </si>
  <si>
    <t>KARIBU</t>
  </si>
  <si>
    <t>CAD</t>
  </si>
  <si>
    <t>MEDUTZ259549</t>
  </si>
  <si>
    <t>GMB BAGS</t>
  </si>
  <si>
    <t>30-05-24</t>
  </si>
  <si>
    <t>15-06-24</t>
  </si>
  <si>
    <t>washed out</t>
  </si>
  <si>
    <t>P02621U271701</t>
  </si>
  <si>
    <t>ONEYSINE20685700</t>
  </si>
  <si>
    <t>28-05-25</t>
  </si>
  <si>
    <t>21-05-24</t>
  </si>
  <si>
    <t>P02611S304901</t>
  </si>
  <si>
    <t>14/5/2024</t>
  </si>
  <si>
    <t>18-05-24</t>
  </si>
  <si>
    <t xml:space="preserve">B002UU0384 </t>
  </si>
  <si>
    <t xml:space="preserve">ONEYSINE20673400 </t>
  </si>
  <si>
    <t>29-05-24</t>
  </si>
  <si>
    <t>HBLIFX09800933</t>
  </si>
  <si>
    <t>AEL1676445</t>
  </si>
  <si>
    <t>PBT 5 cont
pbt 7 cont</t>
  </si>
  <si>
    <t>23-05-24
26-05-24</t>
  </si>
  <si>
    <t>SKY MATRIX PTE.LTD</t>
  </si>
  <si>
    <t>HBLIFX09800936</t>
  </si>
  <si>
    <t>201223Y</t>
  </si>
  <si>
    <t>Ukraine</t>
  </si>
  <si>
    <t>HLCUUAO240100131</t>
  </si>
  <si>
    <t>CANOLA, BULK</t>
  </si>
  <si>
    <t>23-05-24</t>
  </si>
  <si>
    <t>HBLIFX09801137</t>
  </si>
  <si>
    <t>M6803</t>
  </si>
  <si>
    <t>AEL1694343</t>
  </si>
  <si>
    <t>26-05-24</t>
  </si>
  <si>
    <t>chainpur 10 CON</t>
  </si>
  <si>
    <t>31-05-24</t>
  </si>
  <si>
    <t>THE DELONG</t>
  </si>
  <si>
    <t>B002/SU0336</t>
  </si>
  <si>
    <t>SOYABEANS BULK</t>
  </si>
  <si>
    <t>20(17)</t>
  </si>
  <si>
    <t>OK, 17 cont reached 02-06-24, 3 pending MSKU7877635, MRKU8805303, SUDU7481930</t>
  </si>
  <si>
    <t>PBT 5
pbt 5
pbt7</t>
  </si>
  <si>
    <t>06-06-24
7-06-24
08/6/2024</t>
  </si>
  <si>
    <t>KIRLOSKAR</t>
  </si>
  <si>
    <t>HBLIRI09801685</t>
  </si>
  <si>
    <t>656317782TCIFRGHT</t>
  </si>
  <si>
    <t>EVAPORATOR ASSEMBLY</t>
  </si>
  <si>
    <t>28-05-24</t>
  </si>
  <si>
    <t>14-06-24</t>
  </si>
  <si>
    <t>ND CHEMICAL</t>
  </si>
  <si>
    <t>HBLIFX09801237</t>
  </si>
  <si>
    <t>NDLDD2024-08</t>
  </si>
  <si>
    <t>LYSINE HCL</t>
  </si>
  <si>
    <t>21-06-24</t>
  </si>
  <si>
    <t>17-06-24</t>
  </si>
  <si>
    <t xml:space="preserve">B002UU0383 </t>
  </si>
  <si>
    <t>GERMAN</t>
  </si>
  <si>
    <t xml:space="preserve">ONEYSINE20687900 </t>
  </si>
  <si>
    <t>25-06-24</t>
  </si>
  <si>
    <t>Riya International Pte Ltd</t>
  </si>
  <si>
    <t>HBDFX09801385</t>
  </si>
  <si>
    <t>RIYA/2023-P058</t>
  </si>
  <si>
    <t>MT TONDA</t>
  </si>
  <si>
    <t>CIF HALDIA</t>
  </si>
  <si>
    <t>202012790, 202013464</t>
  </si>
  <si>
    <t>19-06-24</t>
  </si>
  <si>
    <t>pbt 3 cont</t>
  </si>
  <si>
    <t>BENTOLI</t>
  </si>
  <si>
    <t>EB0011FOU04076</t>
  </si>
  <si>
    <t>41710001247 SUGAM</t>
  </si>
  <si>
    <t>AMONEX DRY</t>
  </si>
  <si>
    <t>document ok, duty pending</t>
  </si>
  <si>
    <t>16-06-24</t>
  </si>
  <si>
    <t>20-06-24</t>
  </si>
  <si>
    <t>FS COMPRESSURE</t>
  </si>
  <si>
    <t>HBLIRI09802221</t>
  </si>
  <si>
    <t>pashupati 451602106</t>
  </si>
  <si>
    <t>SCREW AIR COMPRESSURE</t>
  </si>
  <si>
    <t>18-06-24</t>
  </si>
  <si>
    <t>ND CHEMICALS</t>
  </si>
  <si>
    <t>P02621S277401</t>
  </si>
  <si>
    <t>L-LYSINE HCL</t>
  </si>
  <si>
    <t>23-06-24</t>
  </si>
  <si>
    <t>doc OK, duty pending</t>
  </si>
  <si>
    <t>P02621U274401</t>
  </si>
  <si>
    <t>ONEYSINE26537900</t>
  </si>
  <si>
    <t>162LCIM041824</t>
  </si>
  <si>
    <t>VASSINCCU019492</t>
  </si>
  <si>
    <t>27-06-24</t>
  </si>
  <si>
    <t>KEMIN INDUSTRIES SOUTH ASIA P.LTD</t>
  </si>
  <si>
    <t>HBLIRI09802535</t>
  </si>
  <si>
    <t>PI 161</t>
  </si>
  <si>
    <t>TOXFIN 360</t>
  </si>
  <si>
    <t>30.06.24</t>
  </si>
  <si>
    <t>10.07.24</t>
  </si>
  <si>
    <t>02.07.24</t>
  </si>
  <si>
    <t>03.07.24</t>
  </si>
  <si>
    <t>CHROMFLEX C</t>
  </si>
  <si>
    <t>HBDFX09801319</t>
  </si>
  <si>
    <t>A6895</t>
  </si>
  <si>
    <t>MEDUGT593415</t>
  </si>
  <si>
    <t>10.06.24</t>
  </si>
  <si>
    <t>29.06.24</t>
  </si>
  <si>
    <t>12.07.24</t>
  </si>
  <si>
    <t>OK,chainpur</t>
  </si>
  <si>
    <t>04.07.24</t>
  </si>
  <si>
    <t>HBLIFX09801185</t>
  </si>
  <si>
    <t>001/01/2024</t>
  </si>
  <si>
    <t>Gdansk</t>
  </si>
  <si>
    <t>04.06.24</t>
  </si>
  <si>
    <t>23.06.24</t>
  </si>
  <si>
    <t>06.07.24</t>
  </si>
  <si>
    <t>FANO</t>
  </si>
  <si>
    <t>099LCIFS24-0004</t>
  </si>
  <si>
    <t>033E506860 wanhai</t>
  </si>
  <si>
    <t>13.06.24</t>
  </si>
  <si>
    <t>25.06.24</t>
  </si>
  <si>
    <t>08.07.24</t>
  </si>
  <si>
    <t>30-06-24</t>
  </si>
  <si>
    <t>chainpur 2 cont
ngat 1 cont
balaji 1 cont</t>
  </si>
  <si>
    <t>05.07.24</t>
  </si>
  <si>
    <t xml:space="preserve">TRC </t>
  </si>
  <si>
    <t>CAD hbl</t>
  </si>
  <si>
    <t>TRCINT/SC/10273</t>
  </si>
  <si>
    <t>13/4/2024</t>
  </si>
  <si>
    <t>UKRAINE</t>
  </si>
  <si>
    <t>19.06.24</t>
  </si>
  <si>
    <t>pbt, 03-07-24</t>
  </si>
  <si>
    <t>HBLIRI09802470</t>
  </si>
  <si>
    <t>402304170 SUGAM</t>
  </si>
  <si>
    <t>BANCOX</t>
  </si>
  <si>
    <t>07.07.24</t>
  </si>
  <si>
    <t>SG</t>
  </si>
  <si>
    <t>B002/SU0357</t>
  </si>
  <si>
    <t>01262024-150653</t>
  </si>
  <si>
    <t>MEDUMC788590</t>
  </si>
  <si>
    <t>BLACK SOYBEAN, BAGS</t>
  </si>
  <si>
    <t>14.06.24</t>
  </si>
  <si>
    <t>13.07.24</t>
  </si>
  <si>
    <t>13-05-24</t>
  </si>
  <si>
    <t xml:space="preserve">Fletcher International </t>
  </si>
  <si>
    <t>HBLIFX09801206</t>
  </si>
  <si>
    <t>C0184349</t>
  </si>
  <si>
    <t>AEL1703000</t>
  </si>
  <si>
    <t>24.06.24</t>
  </si>
  <si>
    <t>01.07.24</t>
  </si>
  <si>
    <t>14.07.24</t>
  </si>
  <si>
    <t>chainpur 14 cont
Awadh 5 cont
PBT 3 cont</t>
  </si>
  <si>
    <t>10.07.24
10.07.24
11.07.24</t>
  </si>
  <si>
    <t>P026110374601</t>
  </si>
  <si>
    <t>524304570 SUGAM</t>
  </si>
  <si>
    <t>26.06.24</t>
  </si>
  <si>
    <t>09.07.24</t>
  </si>
  <si>
    <t>60 DAYS</t>
  </si>
  <si>
    <t>452390 VINAY</t>
  </si>
  <si>
    <t>15.07.24</t>
  </si>
  <si>
    <t>NMB21LC80811720</t>
  </si>
  <si>
    <t>DSV0563900/ MEDUVD297374 MBL</t>
  </si>
  <si>
    <t>MAXIBAN/MONTIBAN</t>
  </si>
  <si>
    <t>17.07.24</t>
  </si>
  <si>
    <t>28.07.24</t>
  </si>
  <si>
    <t>21.07.24</t>
  </si>
  <si>
    <t>30 days credit</t>
  </si>
  <si>
    <t>JCPL/EXP/2425/20</t>
  </si>
  <si>
    <t>20.07.24</t>
  </si>
  <si>
    <t>22.07.24</t>
  </si>
  <si>
    <t>23.07.24</t>
  </si>
  <si>
    <t>JCPL/EXP/2425/21</t>
  </si>
  <si>
    <t>23.07.024</t>
  </si>
  <si>
    <t>24.07.24</t>
  </si>
  <si>
    <t>INDUSTRIAL TECHNICA</t>
  </si>
  <si>
    <t>HBDFX09801136</t>
  </si>
  <si>
    <t>MEDUD8549476</t>
  </si>
  <si>
    <t>BARCELONA</t>
  </si>
  <si>
    <t>fungicap, 
oxycap</t>
  </si>
  <si>
    <t>8.5
1.5</t>
  </si>
  <si>
    <t>18.07.24</t>
  </si>
  <si>
    <t>31.07.24</t>
  </si>
  <si>
    <t>25.07.24</t>
  </si>
  <si>
    <t>MEDUQ8750034</t>
  </si>
  <si>
    <t>02.08.24</t>
  </si>
  <si>
    <t>30.07.24</t>
  </si>
  <si>
    <t>JINAN SAIBAINUO</t>
  </si>
  <si>
    <t xml:space="preserve">22524LS00732 </t>
  </si>
  <si>
    <t>JNSBN20240229AA</t>
  </si>
  <si>
    <t>QGD0864213</t>
  </si>
  <si>
    <t>SOY CHUNKS PROD LINE</t>
  </si>
  <si>
    <t>foodpark</t>
  </si>
  <si>
    <t>LORMAN</t>
  </si>
  <si>
    <t>HBL TT</t>
  </si>
  <si>
    <t>IP ROADLINE</t>
  </si>
  <si>
    <t>RICE BOILER</t>
  </si>
  <si>
    <t>27.07.24</t>
  </si>
  <si>
    <t>162LCIM-0229/24</t>
  </si>
  <si>
    <t>033E508699 wanhai</t>
  </si>
  <si>
    <t>26.07.24</t>
  </si>
  <si>
    <t>10.08.24</t>
  </si>
  <si>
    <t>TWIL06</t>
  </si>
  <si>
    <t>01.08.24</t>
  </si>
  <si>
    <t>LIYANG YUDA</t>
  </si>
  <si>
    <t>TT ADVANCE</t>
  </si>
  <si>
    <t>AMIGL240166011A</t>
  </si>
  <si>
    <t>SHANGHAI</t>
  </si>
  <si>
    <t>SPOUT MAGNET FOR SILO</t>
  </si>
  <si>
    <t>28.05.24</t>
  </si>
  <si>
    <t>HBLIRIC01802724</t>
  </si>
  <si>
    <t>01126740 ip roadline
01126741</t>
  </si>
  <si>
    <t>LITHIUM HYDROXIDE
MIX XYLENE</t>
  </si>
  <si>
    <t>100 KG
14.964</t>
  </si>
  <si>
    <t>29.07.24</t>
  </si>
  <si>
    <t>WAIFANG</t>
  </si>
  <si>
    <t>HBLIFX09801330</t>
  </si>
  <si>
    <t>19006177 MUSA</t>
  </si>
  <si>
    <t>FLOW WRAP MACHINE &amp; BOILER</t>
  </si>
  <si>
    <t>tatopani</t>
  </si>
  <si>
    <t>EVONIK INDIA PVT LTD</t>
  </si>
  <si>
    <t>HBLIRI09802709</t>
  </si>
  <si>
    <t>088926 Kalwania</t>
  </si>
  <si>
    <t>04.08.24</t>
  </si>
  <si>
    <t>PERDUE AGRIBUSINESS</t>
  </si>
  <si>
    <t>HBLIFX09800997</t>
  </si>
  <si>
    <t>MEDUVD563072</t>
  </si>
  <si>
    <t>USA SOYMEAL BULK</t>
  </si>
  <si>
    <t>19.07.24</t>
  </si>
  <si>
    <t>13.08.24</t>
  </si>
  <si>
    <t>chainpur 5 cont
pbt 5 cont
chainpur 8 cont</t>
  </si>
  <si>
    <t>06.08.24
06.08.24
09.08.24</t>
  </si>
  <si>
    <t>HBLIRI09802703</t>
  </si>
  <si>
    <t>988303993 TCI</t>
  </si>
  <si>
    <t>PALASURANCE</t>
  </si>
  <si>
    <t>05.08.24</t>
  </si>
  <si>
    <t>06.08.24</t>
  </si>
  <si>
    <t>20.08.24</t>
  </si>
  <si>
    <t>JATIA CHEMICALS</t>
  </si>
  <si>
    <t>P02611S395601</t>
  </si>
  <si>
    <t>202021201 TCI FRGHT</t>
  </si>
  <si>
    <t>07.08.24</t>
  </si>
  <si>
    <t>Fletcher International</t>
  </si>
  <si>
    <t>E8001 1 FOS03756</t>
  </si>
  <si>
    <t>C0184457</t>
  </si>
  <si>
    <t xml:space="preserve">AEL1709949 </t>
  </si>
  <si>
    <t>18.08.24</t>
  </si>
  <si>
    <t>mukesh 5 cont
kailashji 6 cont
chainpur 11 cont</t>
  </si>
  <si>
    <t>09.08.24
11.08.24
17.08.24</t>
  </si>
  <si>
    <t>HBLIFX09801186</t>
  </si>
  <si>
    <t>28.03.2024</t>
  </si>
  <si>
    <t>C0182343</t>
  </si>
  <si>
    <t xml:space="preserve">AEL1694601 </t>
  </si>
  <si>
    <t>ok, 9+1</t>
  </si>
  <si>
    <t>awadh 3 cont
awadh 1 cont
chainpur 1 cont
chainpur 5 cont</t>
  </si>
  <si>
    <t>10.08.24
12.08.24
12.08.24
14.08.24</t>
  </si>
  <si>
    <t>P11111U377801</t>
  </si>
  <si>
    <t>01121017 IP ROADLINE</t>
  </si>
  <si>
    <t>08.08.24</t>
  </si>
  <si>
    <t>JATIA CHEMICAL</t>
  </si>
  <si>
    <t>30 DAYS CREDIT</t>
  </si>
  <si>
    <t>JCPL/EXP/2425/23</t>
  </si>
  <si>
    <t>202021400, TCI FRGHT</t>
  </si>
  <si>
    <t>11.08.24</t>
  </si>
  <si>
    <t>12.08.24</t>
  </si>
  <si>
    <t>NIHARIKA PAINTS</t>
  </si>
  <si>
    <t>HBLIRIC01810143</t>
  </si>
  <si>
    <t>96, GPS TRANSPORT</t>
  </si>
  <si>
    <t>ALKYD RESIN(NH-112-60%)</t>
  </si>
  <si>
    <t>HBDFX09801191</t>
  </si>
  <si>
    <t>01192024-150659</t>
  </si>
  <si>
    <t>MEDUQ8765784</t>
  </si>
  <si>
    <t>15.08.24</t>
  </si>
  <si>
    <t>MEDUMC789952</t>
  </si>
  <si>
    <t>15-08-24</t>
  </si>
  <si>
    <t>P11121U373201</t>
  </si>
  <si>
    <t>21.06.24</t>
  </si>
  <si>
    <t>233, BHAWANI</t>
  </si>
  <si>
    <t>Panipat, Haryana</t>
  </si>
  <si>
    <t>PP 3120 MA</t>
  </si>
  <si>
    <t>ROSSARI BIOTECH LTD</t>
  </si>
  <si>
    <t>EB0011FOU04211</t>
  </si>
  <si>
    <t>RB/PRO/24-25/001</t>
  </si>
  <si>
    <t>7400011397, maa anna</t>
  </si>
  <si>
    <t>MAXI EX</t>
  </si>
  <si>
    <t>16.08.24</t>
  </si>
  <si>
    <t>JCPL/EXP/2425/24</t>
  </si>
  <si>
    <t>202021595, TCI FRGHT</t>
  </si>
  <si>
    <t>17.08.24</t>
  </si>
  <si>
    <t>19.08.24</t>
  </si>
  <si>
    <t>HBLIRIC01810142</t>
  </si>
  <si>
    <t>01127791, IP ROAD</t>
  </si>
  <si>
    <t>09.08.24</t>
  </si>
  <si>
    <t>ALKYD RESIN</t>
  </si>
  <si>
    <t>SHREE SHYAM OLEO</t>
  </si>
  <si>
    <t>HBLIRIC18002734</t>
  </si>
  <si>
    <t>11.07.24</t>
  </si>
  <si>
    <t>2401, SANGAM</t>
  </si>
  <si>
    <t>14.08.24</t>
  </si>
  <si>
    <t>01127783, IP ROAD</t>
  </si>
  <si>
    <t>MALIC ANHYDRIDE</t>
  </si>
  <si>
    <t>EB0011FOS03660</t>
  </si>
  <si>
    <t>24-W017</t>
  </si>
  <si>
    <t>033E509479WANHAI</t>
  </si>
  <si>
    <t>21.08.24</t>
  </si>
  <si>
    <t>HBDFX09601133</t>
  </si>
  <si>
    <t>MEDUVJ299217</t>
  </si>
  <si>
    <t>04.09.24</t>
  </si>
  <si>
    <t>pbt 5 cont
pbt 5 cont
chainpur 5 cont
chainpur 5 cont</t>
  </si>
  <si>
    <t>22.08.24
23.08.24
25.08.24
26.08.24</t>
  </si>
  <si>
    <t>ALLTECH BIOTECHNOLOGY</t>
  </si>
  <si>
    <t>02611P02398182</t>
  </si>
  <si>
    <t>e064/EXP/PI/2024</t>
  </si>
  <si>
    <t>524304602, SUGAM</t>
  </si>
  <si>
    <t>YEASAC @452
BIO-MOS@ 264
BANOX @264
DE-ODORASE@ 1531</t>
  </si>
  <si>
    <t xml:space="preserve">5 MT
25 KGS
25 KGS
25 KGS
</t>
  </si>
  <si>
    <t>23.08.24</t>
  </si>
  <si>
    <t>25.08.24</t>
  </si>
  <si>
    <t>162CIM-0839/24</t>
  </si>
  <si>
    <t>TANKER NO. NL01AH/6571</t>
  </si>
  <si>
    <t>HBLIUIC01810044</t>
  </si>
  <si>
    <t>PACEI/24-25/0091</t>
  </si>
  <si>
    <t>23052, 23051,SURAKSHIT</t>
  </si>
  <si>
    <t>TALOJA, MUMBAI</t>
  </si>
  <si>
    <t>27.08.24</t>
  </si>
  <si>
    <t>CJ CHEILJEDANG CORPORATION</t>
  </si>
  <si>
    <t>HBLIFX09801643</t>
  </si>
  <si>
    <t>PBOT24-0701</t>
  </si>
  <si>
    <t>INDONESIA</t>
  </si>
  <si>
    <t>DJA1261004</t>
  </si>
  <si>
    <t>L-Valine</t>
  </si>
  <si>
    <t>01.09.24</t>
  </si>
  <si>
    <t>14.09.24</t>
  </si>
  <si>
    <t>ok, rec 1 bag short</t>
  </si>
  <si>
    <t>03.09.24</t>
  </si>
  <si>
    <t>MANDALA TRADING PTY LTD</t>
  </si>
  <si>
    <t>B002/SU0472</t>
  </si>
  <si>
    <t>MT03251</t>
  </si>
  <si>
    <t>28.08.24</t>
  </si>
  <si>
    <t>17.09.24</t>
  </si>
  <si>
    <t>ok, mukesh sauda</t>
  </si>
  <si>
    <t>mukesh 10 cont</t>
  </si>
  <si>
    <t>05.09.24</t>
  </si>
  <si>
    <t>CEST LA VIE</t>
  </si>
  <si>
    <t>HBDFX09801294</t>
  </si>
  <si>
    <t>CLV/210/BNCSO/03-2024</t>
  </si>
  <si>
    <t>BENIN</t>
  </si>
  <si>
    <t>MEDUCT140786</t>
  </si>
  <si>
    <t>COTONOU,BENIN</t>
  </si>
  <si>
    <t>CRUDE SOYBEAN OIL</t>
  </si>
  <si>
    <t>24.08.24</t>
  </si>
  <si>
    <t>07.09.24</t>
  </si>
  <si>
    <t>unlod 4con 07.9</t>
  </si>
  <si>
    <t>MEDUCT140869</t>
  </si>
  <si>
    <t>26.08.24</t>
  </si>
  <si>
    <t>10.09.24</t>
  </si>
  <si>
    <t>08.09.24</t>
  </si>
  <si>
    <t>HBL-No. SEA44/2405-0040</t>
  </si>
  <si>
    <t>DIE</t>
  </si>
  <si>
    <t>162LCIM-0839/24</t>
  </si>
  <si>
    <t>NPC/PI/30/24-25</t>
  </si>
  <si>
    <t>134/2024-25, IP ROADLINE</t>
  </si>
  <si>
    <t>06.09.24</t>
  </si>
  <si>
    <t>ALKYD RESIN@102/KG</t>
  </si>
  <si>
    <t>12.09.24</t>
  </si>
  <si>
    <t>13.09.24</t>
  </si>
  <si>
    <t>ok duty 15.09.24</t>
  </si>
  <si>
    <t>15.09.24</t>
  </si>
  <si>
    <t>NPC/PI/028/24-25</t>
  </si>
  <si>
    <t>01130427, IP ROADLINES</t>
  </si>
  <si>
    <t>ALKYD RESIN@105/KG</t>
  </si>
  <si>
    <t>HBDFX09801365</t>
  </si>
  <si>
    <t>MEDUVJ873581</t>
  </si>
  <si>
    <t>YELLOW SOYABEAN BULK</t>
  </si>
  <si>
    <t>20.09.24</t>
  </si>
  <si>
    <t>16.09.24</t>
  </si>
  <si>
    <t>HBDFX09801334</t>
  </si>
  <si>
    <t>CNZ0197525</t>
  </si>
  <si>
    <t>25.09.24</t>
  </si>
  <si>
    <t>ok, Rabindraji 150 mt</t>
  </si>
  <si>
    <t>Pbt 4 cont
Rohit trade 2 cont
pbt 5 cont
rohit trade 2 cont
chainpur 1 cont
Rohit trade 2 cont</t>
  </si>
  <si>
    <t>19.09.24
19.09.24
20.09.24
21.09.24
23.09.24
23.09.24</t>
  </si>
  <si>
    <t>MEDUVJ713548</t>
  </si>
  <si>
    <t>06.10.24</t>
  </si>
  <si>
    <t>pbt 4 cont
pbt 4 cont
pbt 5 cont
pbt 3 cont</t>
  </si>
  <si>
    <t>22.09.24
23.09.24
25.09.24
26.09.24</t>
  </si>
  <si>
    <t>C002UI0195</t>
  </si>
  <si>
    <t>PI 237</t>
  </si>
  <si>
    <t>988304133, tci</t>
  </si>
  <si>
    <t>11.09.24</t>
  </si>
  <si>
    <t>TOXFIN 360@155000</t>
  </si>
  <si>
    <t>21.09.24</t>
  </si>
  <si>
    <t>26.09.24</t>
  </si>
  <si>
    <t>LINYI FENGRUI</t>
  </si>
  <si>
    <t>P02621M375601</t>
  </si>
  <si>
    <t>FRA - 20240609</t>
  </si>
  <si>
    <t>HTHC24082199</t>
  </si>
  <si>
    <t>SPRAYER=usd20244</t>
  </si>
  <si>
    <t>1909 PCS</t>
  </si>
  <si>
    <t>03.10.24</t>
  </si>
  <si>
    <t>27.09.24</t>
  </si>
  <si>
    <t>CL Commodities Pty Ltd.</t>
  </si>
  <si>
    <t>EB0011FOS03782</t>
  </si>
  <si>
    <t>SC1472</t>
  </si>
  <si>
    <t>MEDUGR626730</t>
  </si>
  <si>
    <t>27.06.24</t>
  </si>
  <si>
    <t>23.09.24</t>
  </si>
  <si>
    <t>07.10.24</t>
  </si>
  <si>
    <t>ok, Sanjay khandelwal</t>
  </si>
  <si>
    <t>chainpur 5 cont
kamlasati 10 cont</t>
  </si>
  <si>
    <t>29.09.24
08.10.24</t>
  </si>
  <si>
    <t>EB0011FOS3757</t>
  </si>
  <si>
    <t>MEDUVJ597347</t>
  </si>
  <si>
    <t>12.10.24</t>
  </si>
  <si>
    <t>pbt 4 cont
pbt4 cont
Pbt 4 cont
pbt 4 cont
pbt 4 cont</t>
  </si>
  <si>
    <t>29.09.24
03.10.24
04.10.24
05.10.24
06.10.24</t>
  </si>
  <si>
    <t>NIHARIKA PAINTS &amp; CHEMICALS P LTD.</t>
  </si>
  <si>
    <t>2886/PRAMOD ROADLINE</t>
  </si>
  <si>
    <t>24.09.24</t>
  </si>
  <si>
    <t>ALKYD RESIN (NH-112-60%)=2907000 INR</t>
  </si>
  <si>
    <t>28.09.24</t>
  </si>
  <si>
    <t>01.10.24</t>
  </si>
  <si>
    <t>05.10.24</t>
  </si>
  <si>
    <t>02611P06608182</t>
  </si>
  <si>
    <t>E083/EXP/PI/2024</t>
  </si>
  <si>
    <t>18.09.24</t>
  </si>
  <si>
    <t>30.09.24</t>
  </si>
  <si>
    <t>SHRI RAMBIOSEED</t>
  </si>
  <si>
    <t>02611P08898182</t>
  </si>
  <si>
    <t>SBG/PRO/2024-25/007</t>
  </si>
  <si>
    <t>SBG/2024-25/007</t>
  </si>
  <si>
    <t>29.09.24</t>
  </si>
  <si>
    <t>EVONIK Operations  GMBH</t>
  </si>
  <si>
    <t>EB0011FOU04200</t>
  </si>
  <si>
    <t>BSLSINBRG2409236</t>
  </si>
  <si>
    <t>09.09.24</t>
  </si>
  <si>
    <t>SpeoCare T60@4300</t>
  </si>
  <si>
    <t>1 TANKER DISPATCH</t>
  </si>
  <si>
    <t>NL01L4792</t>
  </si>
  <si>
    <t>reach factory 05.10.24</t>
  </si>
  <si>
    <t>204586/2024/CA</t>
  </si>
  <si>
    <t>3 MM DIE</t>
  </si>
  <si>
    <t>31.09.24</t>
  </si>
  <si>
    <t>04.10.24</t>
  </si>
  <si>
    <t>TT ADV PAYMENT</t>
  </si>
  <si>
    <t>203/BICA/2024-25</t>
  </si>
  <si>
    <t>301603367, PASHUPATI</t>
  </si>
  <si>
    <t>MITHAPUR, INDIA</t>
  </si>
  <si>
    <t>SODIUM BICARBONATE@25000</t>
  </si>
  <si>
    <t>08.10.24</t>
  </si>
  <si>
    <t>10.10.24</t>
  </si>
  <si>
    <t>JATIA CHEMICALS PVT LTD</t>
  </si>
  <si>
    <t>30 DAYS</t>
  </si>
  <si>
    <t>JCPL/EXP/2425/38</t>
  </si>
  <si>
    <t>202024266,TCI FRGT</t>
  </si>
  <si>
    <t>DCP@45500</t>
  </si>
  <si>
    <t>09.10.24</t>
  </si>
  <si>
    <t>16.10.24</t>
  </si>
  <si>
    <t>02611P06598182</t>
  </si>
  <si>
    <t>099678, KALWANIA</t>
  </si>
  <si>
    <t xml:space="preserve">GUTCARE </t>
  </si>
  <si>
    <t>18.10.24</t>
  </si>
  <si>
    <t>24.10.24</t>
  </si>
  <si>
    <t>ZEUS BIOTECH PVT LTD</t>
  </si>
  <si>
    <t>C002UIO215</t>
  </si>
  <si>
    <t>P-1050</t>
  </si>
  <si>
    <t>425300110, SUGAM</t>
  </si>
  <si>
    <t>ORGANIMIN
RUMIYEAST,</t>
  </si>
  <si>
    <t xml:space="preserve">5
2
</t>
  </si>
  <si>
    <t>1342000/AMT</t>
  </si>
  <si>
    <t>19.10.24</t>
  </si>
  <si>
    <t>20.10.24</t>
  </si>
  <si>
    <t>21.10.24</t>
  </si>
  <si>
    <t>BENTOLI AGRINUTRITION</t>
  </si>
  <si>
    <t>C002UI0216</t>
  </si>
  <si>
    <t>PI24-25EX023</t>
  </si>
  <si>
    <t>41710001304,SUGAM</t>
  </si>
  <si>
    <t xml:space="preserve">AMONEX DRY </t>
  </si>
  <si>
    <t>131000/MT</t>
  </si>
  <si>
    <t>02/2024-25</t>
  </si>
  <si>
    <t>452016, VINAY</t>
  </si>
  <si>
    <t>BUTYHOLD
TOXIFIN PLUS</t>
  </si>
  <si>
    <t>8
2</t>
  </si>
  <si>
    <t>315/KG
87/KG</t>
  </si>
  <si>
    <t>02621P02748182</t>
  </si>
  <si>
    <t>SMINICPL240704W</t>
  </si>
  <si>
    <t>TIANJIN, CHINA</t>
  </si>
  <si>
    <t>PHYTASE
COMPOUND ENZYME
BETAINE
CHOLINE CHLORIDE
GUANIDINOACETIC ACID</t>
  </si>
  <si>
    <t>3
5
8
2
2</t>
  </si>
  <si>
    <t>22.10.24</t>
  </si>
  <si>
    <t>USD 61660
29.09.24</t>
  </si>
  <si>
    <t>INNOVISTA CONSULTING</t>
  </si>
  <si>
    <t>C002UI0214</t>
  </si>
  <si>
    <t>09.12.24</t>
  </si>
  <si>
    <t>INV/PI/24-25/008</t>
  </si>
  <si>
    <t>402304193 SUGAM</t>
  </si>
  <si>
    <t>HYD, INDIA</t>
  </si>
  <si>
    <t>MADUMAX-B</t>
  </si>
  <si>
    <t>300/KGS</t>
  </si>
  <si>
    <t>EVONIK METHONINE</t>
  </si>
  <si>
    <t xml:space="preserve">HBLIFX09810282 </t>
  </si>
  <si>
    <t xml:space="preserve">ONEYSINE66949600 </t>
  </si>
  <si>
    <t xml:space="preserve">DLM </t>
  </si>
  <si>
    <t>2700/MT</t>
  </si>
  <si>
    <t>04.11.24</t>
  </si>
  <si>
    <t>25.10.24</t>
  </si>
  <si>
    <t>EB0011FOS03951</t>
  </si>
  <si>
    <t>ELG/RGN/CCU-1610/24, ELAN</t>
  </si>
  <si>
    <t>BLACK MATPE</t>
  </si>
  <si>
    <t>Unloaded dryport
pbt</t>
  </si>
  <si>
    <t>21.09.24
27.10.24</t>
  </si>
  <si>
    <t>EB0011FOS03952</t>
  </si>
  <si>
    <t>ELG/RGN/CCU-1622/24, ELAN</t>
  </si>
  <si>
    <t>ITC LTD</t>
  </si>
  <si>
    <t>HBLIRI09810619</t>
  </si>
  <si>
    <t>PI/MUSTARD/036/024-25</t>
  </si>
  <si>
    <t>400189464,DELHIVT</t>
  </si>
  <si>
    <t>MUSTARD SEED</t>
  </si>
  <si>
    <t>66500/MT</t>
  </si>
  <si>
    <t>26.10.24</t>
  </si>
  <si>
    <t>27.10.24</t>
  </si>
  <si>
    <t>3295/PRAMOD ROADLINE</t>
  </si>
  <si>
    <t>23.10.24</t>
  </si>
  <si>
    <t>28.10.24</t>
  </si>
  <si>
    <t>30.10.24</t>
  </si>
  <si>
    <t>ALLON BIOTECH</t>
  </si>
  <si>
    <t>HBDFX09810287</t>
  </si>
  <si>
    <t>PI24SN0751</t>
  </si>
  <si>
    <t>OOLU2746798290</t>
  </si>
  <si>
    <t>L-LYSINE MONO@1540usd</t>
  </si>
  <si>
    <t>1540/MT</t>
  </si>
  <si>
    <t>29.10.24</t>
  </si>
  <si>
    <t>11.11.24</t>
  </si>
  <si>
    <t>13.11.24</t>
  </si>
  <si>
    <t xml:space="preserve">EB0011FOU04361 </t>
  </si>
  <si>
    <t>ONEYSINE69561600</t>
  </si>
  <si>
    <t>2600/MT</t>
  </si>
  <si>
    <t>17.10.24</t>
  </si>
  <si>
    <t>03.11.24</t>
  </si>
  <si>
    <t>23.11.24</t>
  </si>
  <si>
    <t>NIHARIKA</t>
  </si>
  <si>
    <t>001LCIIU24-0328</t>
  </si>
  <si>
    <t>NPC/E/047/48/49</t>
  </si>
  <si>
    <t>SURAKSHIT&amp;PASHUPATI</t>
  </si>
  <si>
    <t>ALKYD</t>
  </si>
  <si>
    <t>14.11.24</t>
  </si>
  <si>
    <t>IG PETRO</t>
  </si>
  <si>
    <t>001LCIFU24-0396</t>
  </si>
  <si>
    <t>23053,23055 SURAKSHIT</t>
  </si>
  <si>
    <t>05.11.24</t>
  </si>
  <si>
    <t>17.11.24</t>
  </si>
  <si>
    <t>001LCUIIU24-0331</t>
  </si>
  <si>
    <t>PROFORMA.24-25/SEP/02</t>
  </si>
  <si>
    <t>22013, TODI BULK</t>
  </si>
  <si>
    <t>01.11.24</t>
  </si>
  <si>
    <t>BUTYL ACRYLATE MONOMER</t>
  </si>
  <si>
    <t>INR. 4100960</t>
  </si>
  <si>
    <t>07.11.24</t>
  </si>
  <si>
    <t>08.11.24</t>
  </si>
  <si>
    <t xml:space="preserve">EB0011FOU04360 </t>
  </si>
  <si>
    <t>23.09.23</t>
  </si>
  <si>
    <t>02.09.24</t>
  </si>
  <si>
    <t xml:space="preserve">ONEYSINE69564900 </t>
  </si>
  <si>
    <t>2600/mt</t>
  </si>
  <si>
    <t>03.12.24</t>
  </si>
  <si>
    <t>19.11.24</t>
  </si>
  <si>
    <t>EVONIK METHOININE</t>
  </si>
  <si>
    <t>02621P08188182</t>
  </si>
  <si>
    <t>ONEYSINE68325300</t>
  </si>
  <si>
    <t>14.10.24</t>
  </si>
  <si>
    <t>06.11.24</t>
  </si>
  <si>
    <t>26.11.24</t>
  </si>
  <si>
    <t>AG INTERNATIONAL FZC</t>
  </si>
  <si>
    <t>AG0409</t>
  </si>
  <si>
    <t>DAC0116916B</t>
  </si>
  <si>
    <t xml:space="preserve">GMB </t>
  </si>
  <si>
    <t>13.10.24</t>
  </si>
  <si>
    <t>03.11.24&amp;
06.11.24</t>
  </si>
  <si>
    <t>unload dryport
PGC GDK</t>
  </si>
  <si>
    <t>06.11.24
19.11.24</t>
  </si>
  <si>
    <t>EB0011FOU04331</t>
  </si>
  <si>
    <t>ELG/RGN/CCU-1822/24, TLPL</t>
  </si>
  <si>
    <t>29.08.24</t>
  </si>
  <si>
    <t>25.09.24
29.09.24</t>
  </si>
  <si>
    <t>07.10.24
11.10.24</t>
  </si>
  <si>
    <t>Unloaded dryport
PGC GDK</t>
  </si>
  <si>
    <t>07.10.24
19.11.24</t>
  </si>
  <si>
    <t>C002SU0111</t>
  </si>
  <si>
    <t>PI24SN0752</t>
  </si>
  <si>
    <t>QGD1284892</t>
  </si>
  <si>
    <t>CHOLINE CLORIDE @</t>
  </si>
  <si>
    <t>715/MT</t>
  </si>
  <si>
    <t>31.10.24</t>
  </si>
  <si>
    <t>21.11.24</t>
  </si>
  <si>
    <t>MANDALA TRADING</t>
  </si>
  <si>
    <t>02621P03358182</t>
  </si>
  <si>
    <t>MT03387</t>
  </si>
  <si>
    <t>MELBORNE, AUS</t>
  </si>
  <si>
    <t>WHOLE RED LENTILS BULK</t>
  </si>
  <si>
    <t>02.11.24</t>
  </si>
  <si>
    <t>22.11.24</t>
  </si>
  <si>
    <t>SHANGHAI NUVIT BIOTECH CO LTD</t>
  </si>
  <si>
    <t>C002SU0058</t>
  </si>
  <si>
    <t>FSO240815N009</t>
  </si>
  <si>
    <t>09.08.2024</t>
  </si>
  <si>
    <t>L-LYSINE MONO98.5</t>
  </si>
  <si>
    <t>1590/MT</t>
  </si>
  <si>
    <t>24.11.24</t>
  </si>
  <si>
    <t>001LCIIU24-0331</t>
  </si>
  <si>
    <t>PROFORMA/24-25/SEP/02</t>
  </si>
  <si>
    <t>22014, TODI BULK</t>
  </si>
  <si>
    <t>STYRENE MONOMER</t>
  </si>
  <si>
    <t>112/KGS</t>
  </si>
  <si>
    <t>15.11.24</t>
  </si>
  <si>
    <t>LINDSEED OIL</t>
  </si>
  <si>
    <t>165/KG</t>
  </si>
  <si>
    <t>20.11.24</t>
  </si>
  <si>
    <t>C002UU0060</t>
  </si>
  <si>
    <t>YELLOW SOYABEAN BULK@570.63</t>
  </si>
  <si>
    <t>570.63/MT</t>
  </si>
  <si>
    <t>PBT 8 CONT
PBT 10 CONT
PBT</t>
  </si>
  <si>
    <t>25.11.24
27.11.24
28.11.24</t>
  </si>
  <si>
    <t>02611P12298182</t>
  </si>
  <si>
    <t>JCPL/EXP/2425/47</t>
  </si>
  <si>
    <t>JCPL/EXP/2425/69</t>
  </si>
  <si>
    <t xml:space="preserve">DCP </t>
  </si>
  <si>
    <t>46000/MT</t>
  </si>
  <si>
    <t>JCPL/EXP/2425/45</t>
  </si>
  <si>
    <t>JCPL/EXP/2425/75</t>
  </si>
  <si>
    <t>27.11.24</t>
  </si>
  <si>
    <t>29.11.24</t>
  </si>
  <si>
    <t>DAC0116916A</t>
  </si>
  <si>
    <t>10.11.24</t>
  </si>
  <si>
    <t>pgc gdk 2 cont
pbt 1 cont</t>
  </si>
  <si>
    <t>04.12.24
04.12.24</t>
  </si>
  <si>
    <t>16.11.24</t>
  </si>
  <si>
    <t>SFS, METHYL</t>
  </si>
  <si>
    <t>pgc ghtd</t>
  </si>
  <si>
    <t>02.12.24</t>
  </si>
  <si>
    <t>SHRIRAM BIOSEED GENETICS</t>
  </si>
  <si>
    <t>02611P15858182</t>
  </si>
  <si>
    <t>28.11.24</t>
  </si>
  <si>
    <t>SBG/PRO/IP/24-25/012</t>
  </si>
  <si>
    <t>HY-CORN</t>
  </si>
  <si>
    <t>30.11.24</t>
  </si>
  <si>
    <t>05.12.24</t>
  </si>
  <si>
    <t>pgc gdk 3 trucks</t>
  </si>
  <si>
    <t>090LCIFS24-0042</t>
  </si>
  <si>
    <t>MT03647/B</t>
  </si>
  <si>
    <t>CAN0820812, cma</t>
  </si>
  <si>
    <t>31.08.24</t>
  </si>
  <si>
    <t>VANCOVAR</t>
  </si>
  <si>
    <t>706/MT</t>
  </si>
  <si>
    <t>10.12.24</t>
  </si>
  <si>
    <t>pgc gdk 11 cont
pgc gdk 11 cont</t>
  </si>
  <si>
    <t>05.12.24
06.12.24</t>
  </si>
  <si>
    <t>001LCIIU24-0329</t>
  </si>
  <si>
    <t>NPC/PI/046/24-25</t>
  </si>
  <si>
    <t>PRL/3870 pramod roadline</t>
  </si>
  <si>
    <t>04.12.24</t>
  </si>
  <si>
    <t>06.12.24</t>
  </si>
  <si>
    <t>08.12.24</t>
  </si>
  <si>
    <t>EB0011FOS04018</t>
  </si>
  <si>
    <t>PI24SN0750</t>
  </si>
  <si>
    <t>ONEYDL3CE0667900</t>
  </si>
  <si>
    <t>1535/MT</t>
  </si>
  <si>
    <t>17.12.24</t>
  </si>
  <si>
    <t>15.12.24</t>
  </si>
  <si>
    <t>HBDFX09810485</t>
  </si>
  <si>
    <t>MT03511/A</t>
  </si>
  <si>
    <t>630/MT</t>
  </si>
  <si>
    <t>12.11.24</t>
  </si>
  <si>
    <t>20.12.24</t>
  </si>
  <si>
    <t>pgc gdk 5 cont
pgc gdk 5 cont
pgc gdk 10 cont</t>
  </si>
  <si>
    <t>10.12.24
11.12.24
12.12.24</t>
  </si>
  <si>
    <t>EB0011FOS04092</t>
  </si>
  <si>
    <t>14.11.2024</t>
  </si>
  <si>
    <t>ECLRGND240033</t>
  </si>
  <si>
    <t>1035/MT</t>
  </si>
  <si>
    <t>18.12.24</t>
  </si>
  <si>
    <t>pgc gdk</t>
  </si>
  <si>
    <t>JCPL/EXP/2425/46</t>
  </si>
  <si>
    <t>vzm/24-25/1893,wb0871</t>
  </si>
  <si>
    <t>13.12.24</t>
  </si>
  <si>
    <t>14.12.24</t>
  </si>
  <si>
    <t>16.12.24</t>
  </si>
  <si>
    <t>MT03647/A</t>
  </si>
  <si>
    <t>CAN0820796, cma</t>
  </si>
  <si>
    <t>21.12.24</t>
  </si>
  <si>
    <t>11.12.24</t>
  </si>
  <si>
    <t>pgc gdk 6 cont
pbt 6 cont
pgc gdk 10 cont
pbt 2 cont</t>
  </si>
  <si>
    <t>16.12.24
16.12.24
17.12.24
17.12.24</t>
  </si>
  <si>
    <t>HBLIFX09810344</t>
  </si>
  <si>
    <t>Soybean Seed bulk</t>
  </si>
  <si>
    <t>562.33/MT</t>
  </si>
  <si>
    <t>28.12.24</t>
  </si>
  <si>
    <t>19.12.24</t>
  </si>
  <si>
    <t>HBDFX09810445</t>
  </si>
  <si>
    <t>520/mt</t>
  </si>
  <si>
    <t>29.12.24</t>
  </si>
  <si>
    <t>pbt 14 cont
pbt 6 cont</t>
  </si>
  <si>
    <t>22.12.24
20.12.24</t>
  </si>
  <si>
    <t>11111P17328182</t>
  </si>
  <si>
    <t>NPC/E/055/24-25</t>
  </si>
  <si>
    <t>12.12.24</t>
  </si>
  <si>
    <t>ALKYD RESIN
CNSL RESIN</t>
  </si>
  <si>
    <t>16
5</t>
  </si>
  <si>
    <t>unloaded ip
release on 26.12.24</t>
  </si>
  <si>
    <t>C002UI0476</t>
  </si>
  <si>
    <t>815-19424</t>
  </si>
  <si>
    <t>TOXIN 360 DRY</t>
  </si>
  <si>
    <t>155/KGS</t>
  </si>
  <si>
    <t>22.12.24</t>
  </si>
  <si>
    <t>097ILCS82INR0298</t>
  </si>
  <si>
    <t>01.12.24</t>
  </si>
  <si>
    <t>PI/GNT/AP/SO/042/24-25</t>
  </si>
  <si>
    <t>F23AD25111000002</t>
  </si>
  <si>
    <t>MAIZE</t>
  </si>
  <si>
    <t>26011/MT</t>
  </si>
  <si>
    <t>23.12.24</t>
  </si>
  <si>
    <t>02611P18408182</t>
  </si>
  <si>
    <t>SBG/PRO/IP/2024-25/013</t>
  </si>
  <si>
    <t>HY CORN</t>
  </si>
  <si>
    <t>UPC CHEMICALS (MALAYSIA) SDN.BHD</t>
  </si>
  <si>
    <t>099LCIFU24-0034</t>
  </si>
  <si>
    <t>YOP248S0046</t>
  </si>
  <si>
    <t>MALAYSIA</t>
  </si>
  <si>
    <t>SLHPKGCCU00008 sealloyd</t>
  </si>
  <si>
    <t>DI-2-ETHYLHEXYL PHTHALATE(DOP)</t>
  </si>
  <si>
    <t>1450/MT</t>
  </si>
  <si>
    <t>25.12.24</t>
  </si>
  <si>
    <t>NPC/E/058/24-25</t>
  </si>
  <si>
    <t>NPC/E/058/24-25
wb20-4395</t>
  </si>
  <si>
    <t>24.12.24</t>
  </si>
  <si>
    <t>HBLIFX09810345</t>
  </si>
  <si>
    <t>520.83/MT</t>
  </si>
  <si>
    <t>31.12.24</t>
  </si>
  <si>
    <t>pbt 10 cont
nwcl 10 cont</t>
  </si>
  <si>
    <t>25.12.24
26.12.24</t>
  </si>
  <si>
    <t>NPL/E/056/24-25</t>
  </si>
  <si>
    <t>IP roadline unload</t>
  </si>
  <si>
    <t>nwcl</t>
  </si>
  <si>
    <t>27.12.24</t>
  </si>
  <si>
    <t>FANO GROUPLTD</t>
  </si>
  <si>
    <t>099LCIFU24-0025</t>
  </si>
  <si>
    <t>24-W091</t>
  </si>
  <si>
    <t>MEDUQW577942</t>
  </si>
  <si>
    <t>03.01.25</t>
  </si>
  <si>
    <t>30.12.24</t>
  </si>
  <si>
    <t>ADISSEO ASIA PACIFIC PTE LTD</t>
  </si>
  <si>
    <t>HBLIFX09810461</t>
  </si>
  <si>
    <t>VASSINBRG020950 
goodrich</t>
  </si>
  <si>
    <t>05.01.25</t>
  </si>
  <si>
    <t>ARISE IIP DESTRIBUTION</t>
  </si>
  <si>
    <t>EB0011FOU04212</t>
  </si>
  <si>
    <t>CLV/552/BNSSO/001-2024</t>
  </si>
  <si>
    <t>MEDUCT148706</t>
  </si>
  <si>
    <t>1025/MT</t>
  </si>
  <si>
    <t>09.01.25</t>
  </si>
  <si>
    <t>MEDUCT149001</t>
  </si>
  <si>
    <t>26.12.24</t>
  </si>
  <si>
    <t>08.01.25</t>
  </si>
  <si>
    <t>02.01.25</t>
  </si>
  <si>
    <t>MEDUCT148763</t>
  </si>
  <si>
    <t>UNITED RAW MATERIAL</t>
  </si>
  <si>
    <t>NMB21LC81820533</t>
  </si>
  <si>
    <t>URMPL/60282/2024-25</t>
  </si>
  <si>
    <t>MEDUDV481988</t>
  </si>
  <si>
    <t>15.10.24</t>
  </si>
  <si>
    <t>JEBEL ALI, DUBAI</t>
  </si>
  <si>
    <t>880/mt</t>
  </si>
  <si>
    <t>04.01.25</t>
  </si>
  <si>
    <t>DEMETER CORMACK PTY LTD</t>
  </si>
  <si>
    <t>HBDFX09810607</t>
  </si>
  <si>
    <t>M7225</t>
  </si>
  <si>
    <t>694/mt</t>
  </si>
  <si>
    <t>15.01.25</t>
  </si>
  <si>
    <t>pbt 2 cont
pbt 5 cont
pbt 4 cont
pbt 4 cont
pbt 2 cont
pgc gdk</t>
  </si>
  <si>
    <t>03.01.25
06.01.25
10.01.25
12.01.25
13.01.25
13.01.25</t>
  </si>
  <si>
    <t>DAP-EBL 0010F1BC006763</t>
  </si>
  <si>
    <t>NDLDD2024-17</t>
  </si>
  <si>
    <t>1515/mt</t>
  </si>
  <si>
    <t>12.01.25</t>
  </si>
  <si>
    <t>HBLIFXC01810008</t>
  </si>
  <si>
    <t>16.07.24</t>
  </si>
  <si>
    <t>URMPL/52681/2023-24</t>
  </si>
  <si>
    <t>MEDUDV481962</t>
  </si>
  <si>
    <t xml:space="preserve">HBLIFX09810628 </t>
  </si>
  <si>
    <t xml:space="preserve">ONEYSINE81003500 </t>
  </si>
  <si>
    <t>2450/mt</t>
  </si>
  <si>
    <t>01.01.25</t>
  </si>
  <si>
    <t>21.01.25</t>
  </si>
  <si>
    <t>06.01.25</t>
  </si>
  <si>
    <t>C002UI0512</t>
  </si>
  <si>
    <t>PI 24-25 EX037</t>
  </si>
  <si>
    <t>41710001335 sugam</t>
  </si>
  <si>
    <t>07.01.25</t>
  </si>
  <si>
    <t>27.12.13</t>
  </si>
  <si>
    <t xml:space="preserve">HBLIFX09810630 </t>
  </si>
  <si>
    <t xml:space="preserve">ONEYSINE83473400 </t>
  </si>
  <si>
    <t>22.01.25</t>
  </si>
  <si>
    <t>PAPERBARK COMMODITIES</t>
  </si>
  <si>
    <t>HBDFX09801338</t>
  </si>
  <si>
    <t>30.04.24</t>
  </si>
  <si>
    <t>CAN24026</t>
  </si>
  <si>
    <t>MEDUEZ114533</t>
  </si>
  <si>
    <t>MELBORNE</t>
  </si>
  <si>
    <t>CANOLA SEED@605</t>
  </si>
  <si>
    <t>605/MT</t>
  </si>
  <si>
    <t>17.01.25</t>
  </si>
  <si>
    <t>13.01.25</t>
  </si>
  <si>
    <t>PRESTIGE FEED MILLS LTD</t>
  </si>
  <si>
    <t>090LCIIS25-0002</t>
  </si>
  <si>
    <t>PFML/HSBM/24-25/49</t>
  </si>
  <si>
    <t>HSBM</t>
  </si>
  <si>
    <t>090LCIIS25-0003</t>
  </si>
  <si>
    <t>PFML/SBM/24-25/50</t>
  </si>
  <si>
    <t>SBM</t>
  </si>
  <si>
    <t>JATIA CHEMICAL PVT LTD</t>
  </si>
  <si>
    <t>02611P17658182</t>
  </si>
  <si>
    <t>JCPL/EXP/2425/51</t>
  </si>
  <si>
    <t>202057623TCI FRGT</t>
  </si>
  <si>
    <t>10.01.25</t>
  </si>
  <si>
    <t>11.01.25</t>
  </si>
  <si>
    <t>MT03511/B</t>
  </si>
  <si>
    <t>25.01.25</t>
  </si>
  <si>
    <t>20.01.25</t>
  </si>
  <si>
    <t>JIUTA (JIANGSU) NEW MATERIAL TECHNOLOGY</t>
  </si>
  <si>
    <t>099LCIFS24-0015</t>
  </si>
  <si>
    <t>JT- 20240816-001</t>
  </si>
  <si>
    <t>MEDUHL227954</t>
  </si>
  <si>
    <t xml:space="preserve">RUTILE TITANIUM DIOXIDE </t>
  </si>
  <si>
    <t>26.01.25</t>
  </si>
  <si>
    <t>EB0011FOS04130</t>
  </si>
  <si>
    <t>SITRGBRG249005</t>
  </si>
  <si>
    <t>07.12.24</t>
  </si>
  <si>
    <t>BLACK MATPE BAGS</t>
  </si>
  <si>
    <t>995/MT</t>
  </si>
  <si>
    <t>29.01.25</t>
  </si>
  <si>
    <t>02621P18108182</t>
  </si>
  <si>
    <t>SITRGBRG249221</t>
  </si>
  <si>
    <t>BLACK MAPTE BAGS</t>
  </si>
  <si>
    <t>980/mt</t>
  </si>
  <si>
    <t>30.01.25</t>
  </si>
  <si>
    <t>SG CERESCO</t>
  </si>
  <si>
    <t>C002UU0069</t>
  </si>
  <si>
    <t>22072024-150755</t>
  </si>
  <si>
    <t>MEDUOF190476</t>
  </si>
  <si>
    <t>MONTERAL, CANADA</t>
  </si>
  <si>
    <t xml:space="preserve">SOYBEANS </t>
  </si>
  <si>
    <t>557.14/MT</t>
  </si>
  <si>
    <t>14.01.25</t>
  </si>
  <si>
    <t>27.01.25</t>
  </si>
  <si>
    <t>nwcl 10 cont
nwcl 6 cont
nwcl 4 cont</t>
  </si>
  <si>
    <t>23.01.25
24.01.25
26.01.25</t>
  </si>
  <si>
    <t>090LCIF24-0044</t>
  </si>
  <si>
    <t>515/MT</t>
  </si>
  <si>
    <t>24.01.25</t>
  </si>
  <si>
    <t>06.02.25</t>
  </si>
  <si>
    <t>pbt 9 cont
pbt 10 cont</t>
  </si>
  <si>
    <t>29.01.25
31.01.25</t>
  </si>
  <si>
    <t>HBLIFX09810629</t>
  </si>
  <si>
    <t>ONEYSINE83593700</t>
  </si>
  <si>
    <t>2.45/KG</t>
  </si>
  <si>
    <t>07.02.25</t>
  </si>
  <si>
    <t>HBDFX09810438</t>
  </si>
  <si>
    <t>22072024-150756</t>
  </si>
  <si>
    <t>MEDUOF227310</t>
  </si>
  <si>
    <t>535.MT</t>
  </si>
  <si>
    <t>23.01.25</t>
  </si>
  <si>
    <t>05.02.25</t>
  </si>
  <si>
    <t>FANO GROUP LTD</t>
  </si>
  <si>
    <t>HBDFX09810663</t>
  </si>
  <si>
    <t>24-W170</t>
  </si>
  <si>
    <t>SITGLYNG310363, SITC</t>
  </si>
  <si>
    <t>545/MT</t>
  </si>
  <si>
    <t>INNNOVISTA CONSUTING</t>
  </si>
  <si>
    <t>C002U10630</t>
  </si>
  <si>
    <t>INV/PI/24-25/018</t>
  </si>
  <si>
    <t>402304228, SUGAM</t>
  </si>
  <si>
    <t>300/KG</t>
  </si>
  <si>
    <t>04.02.25</t>
  </si>
  <si>
    <t>090LCIIS25-0006</t>
  </si>
  <si>
    <t>PI/GNT/AP/SO/047/24-25</t>
  </si>
  <si>
    <t>282000193 RR</t>
  </si>
  <si>
    <t>03.02.25</t>
  </si>
  <si>
    <t>26450/MT</t>
  </si>
  <si>
    <t>FLETCHER INT EXPorts pty ltd</t>
  </si>
  <si>
    <t>HBLIFX09810801</t>
  </si>
  <si>
    <t>C0200227</t>
  </si>
  <si>
    <t>AUS CANOLA</t>
  </si>
  <si>
    <t>688/MT</t>
  </si>
  <si>
    <t>19.02.25</t>
  </si>
  <si>
    <t>110 mt rohit sales</t>
  </si>
  <si>
    <t>pbt 5 cont
pgc gdk 6 cont
pgc gdk 6 cont
awadh 3 cont
pgc gdk 2 cont</t>
  </si>
  <si>
    <t>06.02.25
09.02.25
10.02.25
11.02.25
12.02.25</t>
  </si>
  <si>
    <t>HBDFX09810470</t>
  </si>
  <si>
    <t>24-W118</t>
  </si>
  <si>
    <t>033E527969</t>
  </si>
  <si>
    <t>483/MT</t>
  </si>
  <si>
    <t>16.01.25</t>
  </si>
  <si>
    <t>08.02.25</t>
  </si>
  <si>
    <t>21.02.25</t>
  </si>
  <si>
    <t>11.02.25</t>
  </si>
  <si>
    <t>090LCIFU24-0050</t>
  </si>
  <si>
    <t>51/001/09/2024</t>
  </si>
  <si>
    <t>POLAND</t>
  </si>
  <si>
    <t>1160/MT</t>
  </si>
  <si>
    <t>01.02.25</t>
  </si>
  <si>
    <t>14.02.25</t>
  </si>
  <si>
    <t>ok, 4 cont disp</t>
  </si>
  <si>
    <t>GAOU2550898 not
 reached, passbook</t>
  </si>
  <si>
    <t>pbt 4 cont
r153h 1 cont</t>
  </si>
  <si>
    <t>11.02.25
01.02.25</t>
  </si>
  <si>
    <t>ALLTECH BIOTECHNOLGY</t>
  </si>
  <si>
    <t>02611P22948182</t>
  </si>
  <si>
    <t>E002/EXP/P1/2025</t>
  </si>
  <si>
    <t>524304715 sugam</t>
  </si>
  <si>
    <t>YEASAC
BIOPLEX</t>
  </si>
  <si>
    <t>3.5
1.5</t>
  </si>
  <si>
    <t>441/KG
533/KG</t>
  </si>
  <si>
    <t>10.02.25</t>
  </si>
  <si>
    <t>HAWKEYE GOLD LLC</t>
  </si>
  <si>
    <t>ISDF0A124USD2790</t>
  </si>
  <si>
    <t>MW0810351</t>
  </si>
  <si>
    <t>Soybean Seed</t>
  </si>
  <si>
    <t>526/mt</t>
  </si>
  <si>
    <t>23.02.25</t>
  </si>
  <si>
    <t>nwcl 9 cont
nwcl 6 cont
nwcl 6 cont</t>
  </si>
  <si>
    <t>14.02.25
16.02.25
17.02.25</t>
  </si>
  <si>
    <t>02621P10658182</t>
  </si>
  <si>
    <t>24-W117</t>
  </si>
  <si>
    <t>19.09.24</t>
  </si>
  <si>
    <t>MEDUFD598621</t>
  </si>
  <si>
    <t>03.01.24</t>
  </si>
  <si>
    <t>17.02.25</t>
  </si>
  <si>
    <t>ISDF0A124USD3123</t>
  </si>
  <si>
    <t>M7358</t>
  </si>
  <si>
    <t>687/MT</t>
  </si>
  <si>
    <t>18.01.25</t>
  </si>
  <si>
    <t>06.02.25
16.02.25</t>
  </si>
  <si>
    <t>26.02.25
02.03.25</t>
  </si>
  <si>
    <t>ok, 18 cont reach, 10 cont 
sanjay khandelwal, 2 cont reach 16.02.24</t>
  </si>
  <si>
    <t xml:space="preserve">pgc gdk 3 cont
skhandel 2 cont
pgc gdk 4 cnt
skhandel 1 cnt
PGC GDK 1 cont
skhand 3 cont
skhand 4 cont
pgc gdk 2 cont </t>
  </si>
  <si>
    <t>13.02.25
13.02.25
14.02.25
14.02.25
16.02.25
17.02.25
23.02.25
19.02.25</t>
  </si>
  <si>
    <t>18 cont
2 cont</t>
  </si>
  <si>
    <t>INDUSTRIAL TECNICA PECUARIA</t>
  </si>
  <si>
    <t>HBLIFX09810446</t>
  </si>
  <si>
    <t>SPAIN</t>
  </si>
  <si>
    <t>MEDUD8795590</t>
  </si>
  <si>
    <t>OXICAP E2</t>
  </si>
  <si>
    <t>1350/mt</t>
  </si>
  <si>
    <t>06.03.25</t>
  </si>
  <si>
    <t>shipping payment
pending</t>
  </si>
  <si>
    <t xml:space="preserve">
pbt</t>
  </si>
  <si>
    <t>28.02.25</t>
  </si>
  <si>
    <t>FUNGICAP N</t>
  </si>
  <si>
    <t>1450/mt</t>
  </si>
  <si>
    <t>04.03.25</t>
  </si>
  <si>
    <t>ISDF0A125USD0030</t>
  </si>
  <si>
    <t>530/mt</t>
  </si>
  <si>
    <t>pgc  18 cont
pbt 27 cont</t>
  </si>
  <si>
    <t>26.02.25
28.02.25</t>
  </si>
  <si>
    <t>AOLLEN BIOTECH CO. LTD</t>
  </si>
  <si>
    <t>C002SU0207</t>
  </si>
  <si>
    <t>PI24SN1096</t>
  </si>
  <si>
    <t>1560/MT</t>
  </si>
  <si>
    <t>28.01.25</t>
  </si>
  <si>
    <t>27.02.25</t>
  </si>
  <si>
    <t>12.03.25</t>
  </si>
  <si>
    <t>25.02.25</t>
  </si>
  <si>
    <t>033E527247, WANHAI</t>
  </si>
  <si>
    <t>15.02.25</t>
  </si>
  <si>
    <t>18.02.25</t>
  </si>
  <si>
    <t>1(5)</t>
  </si>
  <si>
    <t>ok, 1 CONT REACH</t>
  </si>
  <si>
    <t xml:space="preserve">EB0011FOU04490 </t>
  </si>
  <si>
    <t xml:space="preserve">ONEYSINE85457800           </t>
  </si>
  <si>
    <t>24.02.25</t>
  </si>
  <si>
    <t>12.02.25</t>
  </si>
  <si>
    <t>ISDF0A124USD3171</t>
  </si>
  <si>
    <t>MW0810373</t>
  </si>
  <si>
    <t>25.12.25</t>
  </si>
  <si>
    <t>510/mt</t>
  </si>
  <si>
    <t>22.02.25</t>
  </si>
  <si>
    <t>07.03.25</t>
  </si>
  <si>
    <t>NWCL 5 CONT
nwcl 4 cont
nwcl 10 cont</t>
  </si>
  <si>
    <t>02.03.25
03.03.25
04.03.25</t>
  </si>
  <si>
    <t>EB0011FOS04119</t>
  </si>
  <si>
    <t>24-W169</t>
  </si>
  <si>
    <t>SITGLYBU311151</t>
  </si>
  <si>
    <t>03.03.25</t>
  </si>
  <si>
    <t>unload dryport
pbt</t>
  </si>
  <si>
    <t>03.03.25
04.03.25</t>
  </si>
  <si>
    <t>PATANJALI FOODS LTD</t>
  </si>
  <si>
    <t>090LCIIS25-0008</t>
  </si>
  <si>
    <t>CFR/11/2425</t>
  </si>
  <si>
    <t>INR33800</t>
  </si>
  <si>
    <t>02.03.25</t>
  </si>
  <si>
    <t>BAF PREMIKS VE TARIMSANAYI</t>
  </si>
  <si>
    <t>EB0011FOU04385</t>
  </si>
  <si>
    <t>20240912-NP</t>
  </si>
  <si>
    <t>MEDUU8595560</t>
  </si>
  <si>
    <t>KEYTOX</t>
  </si>
  <si>
    <t>090LCIFS24-0055</t>
  </si>
  <si>
    <t>516/MT</t>
  </si>
  <si>
    <t>2(38)</t>
  </si>
  <si>
    <t xml:space="preserve">38 reach, 2 pending
mrku6748586,mrku7175914 </t>
  </si>
  <si>
    <t>pbt 8 cont
pbt 15 cont
nwcl 8 cont
pbt  7 cont</t>
  </si>
  <si>
    <t>03.03.25
04.03.25
05.03.25
06.03.25</t>
  </si>
  <si>
    <t>EVONIK INDIA PVT LIMITED</t>
  </si>
  <si>
    <t>HBLIRI09811535</t>
  </si>
  <si>
    <t>INR190000</t>
  </si>
  <si>
    <t>AF/03/2024-25</t>
  </si>
  <si>
    <t>454181 vinay</t>
  </si>
  <si>
    <t>13.02.25</t>
  </si>
  <si>
    <t>INR675000</t>
  </si>
  <si>
    <t>05.03.25</t>
  </si>
  <si>
    <t>EB0011FOU04489</t>
  </si>
  <si>
    <t>ONEYSINE85460900</t>
  </si>
  <si>
    <t>2450/MT</t>
  </si>
  <si>
    <t>26.02.25</t>
  </si>
  <si>
    <t>US2YELLOW SOYBEAN</t>
  </si>
  <si>
    <t>510/MT</t>
  </si>
  <si>
    <t>17.03.25</t>
  </si>
  <si>
    <t>DG GLOBAL INC</t>
  </si>
  <si>
    <t>HBDFX09810452</t>
  </si>
  <si>
    <t>PRO35621</t>
  </si>
  <si>
    <t>MEDUVC677170</t>
  </si>
  <si>
    <t xml:space="preserve">CANADIAN CANOLA </t>
  </si>
  <si>
    <t>618/MT</t>
  </si>
  <si>
    <t>16.03.25</t>
  </si>
  <si>
    <t>pgc gdk 18 cont
pbt 6 cont</t>
  </si>
  <si>
    <t>11.03.25
11.03.25</t>
  </si>
  <si>
    <t>ND CHEMICALS CO. LTD</t>
  </si>
  <si>
    <t>DP AT SIGHT hbl</t>
  </si>
  <si>
    <t>NDLDD2024-15</t>
  </si>
  <si>
    <t>1489.8/MT</t>
  </si>
  <si>
    <t>16.02.25</t>
  </si>
  <si>
    <t>20.03.25</t>
  </si>
  <si>
    <t>19.03.25</t>
  </si>
  <si>
    <t>ND CHEMICAL CO LTD</t>
  </si>
  <si>
    <t>DP AT SIGHT PRABHU</t>
  </si>
  <si>
    <t>NDLDD2024-16</t>
  </si>
  <si>
    <t>08.03.25</t>
  </si>
  <si>
    <t>21.03.25</t>
  </si>
  <si>
    <t>001LCIFU25-0064</t>
  </si>
  <si>
    <t>PACEI/24-25/0235</t>
  </si>
  <si>
    <t>23056 SURAKSHIT</t>
  </si>
  <si>
    <t>1265/MTUSD</t>
  </si>
  <si>
    <t>11.03.25</t>
  </si>
  <si>
    <t>PGC GDK</t>
  </si>
  <si>
    <t>30DAYS FM LR TT</t>
  </si>
  <si>
    <t>JCPL/EXP/2425/48</t>
  </si>
  <si>
    <t>CALPHORUS(DCP)</t>
  </si>
  <si>
    <t>NIHARIKA PAINTS AND CHEMICALS</t>
  </si>
  <si>
    <t>001LCIIU25-0061</t>
  </si>
  <si>
    <t>NPC/PI/084/24-25</t>
  </si>
  <si>
    <t>801604320, PASHUPATI
21226, SURAKSHIT
01138773, ip</t>
  </si>
  <si>
    <t>03.03.25
10.03.25
10.03.25</t>
  </si>
  <si>
    <t>104/KGS</t>
  </si>
  <si>
    <t>pgc gdk 1 truck
pgc gdk 2 trucks</t>
  </si>
  <si>
    <t>12.03.25
23.03.25</t>
  </si>
  <si>
    <t>162LCIM-0022/25</t>
  </si>
  <si>
    <t>M7453</t>
  </si>
  <si>
    <t>DESI CHICKPEAS</t>
  </si>
  <si>
    <t>720/MT</t>
  </si>
  <si>
    <t>08.04.25</t>
  </si>
  <si>
    <t>23.03.25</t>
  </si>
  <si>
    <t>AF/58/2024-25</t>
  </si>
  <si>
    <t>454191 vinay</t>
  </si>
  <si>
    <t>10.03.25</t>
  </si>
  <si>
    <t>INR1575000</t>
  </si>
  <si>
    <t>24.03.25</t>
  </si>
  <si>
    <t>HBDFX09810469</t>
  </si>
  <si>
    <t>MEDUOF251617</t>
  </si>
  <si>
    <t>18.11.24</t>
  </si>
  <si>
    <t>515/mt</t>
  </si>
  <si>
    <t>28.03.25</t>
  </si>
  <si>
    <t>nwcl 6 cont
nwcl 6 cont</t>
  </si>
  <si>
    <t>24.03.25
25.03.25</t>
  </si>
  <si>
    <t>1(39)</t>
  </si>
  <si>
    <t>18.03.25
25.03.25</t>
  </si>
  <si>
    <t>31.03.25
30.03.25</t>
  </si>
  <si>
    <r>
      <t xml:space="preserve">38 reach, 2 pending
</t>
    </r>
    <r>
      <rPr>
        <b/>
        <sz val="11"/>
        <color theme="1"/>
        <rFont val="Calibri"/>
        <family val="2"/>
        <scheme val="minor"/>
      </rPr>
      <t>mrku6748586-TCKU7576581(40ft)</t>
    </r>
    <r>
      <rPr>
        <sz val="11"/>
        <color theme="1"/>
        <rFont val="Calibri"/>
        <family val="2"/>
        <scheme val="minor"/>
      </rPr>
      <t>reach 18.03
mrku7175914 -reach25.03</t>
    </r>
  </si>
  <si>
    <t>pbt 8 cont
pbt 15 cont
nwcl 8 cont
pbt  7 cont
pbt 1X40
pbt 1X20</t>
  </si>
  <si>
    <t>03.03.25
04.03.25
05.03.25
06.03.25
20.03.25
26.03.25</t>
  </si>
  <si>
    <t>099LCIFS24-0026</t>
  </si>
  <si>
    <t>MT03773</t>
  </si>
  <si>
    <t>WHOLE RED LENTILS</t>
  </si>
  <si>
    <t>735/MT</t>
  </si>
  <si>
    <t>2(8)</t>
  </si>
  <si>
    <t>22.03.25</t>
  </si>
  <si>
    <t>04.04.25(8)</t>
  </si>
  <si>
    <t>ok, 8 cont reach,
2 cont pending</t>
  </si>
  <si>
    <t>msku5010727
caau2517326
pending</t>
  </si>
  <si>
    <t>pgc gdk 4 cont
pbt 4 cont
R103h</t>
  </si>
  <si>
    <t>26.03.25
26.03.25
23.03.25</t>
  </si>
  <si>
    <t>KANORIA CHEMICALS</t>
  </si>
  <si>
    <t>001LCIIU25-0056</t>
  </si>
  <si>
    <t>PROFORMA/2024-25/005</t>
  </si>
  <si>
    <t>31443, SURAKSHIT</t>
  </si>
  <si>
    <t>ANKHLESHWAR</t>
  </si>
  <si>
    <t>PENTAERYTHROL</t>
  </si>
  <si>
    <t>153000/MT</t>
  </si>
  <si>
    <t>25.03.25</t>
  </si>
  <si>
    <t>26.03.25</t>
  </si>
  <si>
    <t>CAD PRABHU</t>
  </si>
  <si>
    <t>MT03882</t>
  </si>
  <si>
    <t>31.01.25</t>
  </si>
  <si>
    <t>WHOLE CHICK PEAS</t>
  </si>
  <si>
    <t>732/MT</t>
  </si>
  <si>
    <t>12.04.25</t>
  </si>
  <si>
    <t xml:space="preserve">ALLTECH BIOTECHNOLOGY </t>
  </si>
  <si>
    <t>C002UI0833</t>
  </si>
  <si>
    <t>E029/EXP/PI/2025</t>
  </si>
  <si>
    <t>524304744,SUGAM</t>
  </si>
  <si>
    <t>BIOPLEX PRIME</t>
  </si>
  <si>
    <t>310/KG</t>
  </si>
  <si>
    <t>30.03.25</t>
  </si>
  <si>
    <t>31.03.25</t>
  </si>
  <si>
    <t>453603381-82, pashupati</t>
  </si>
  <si>
    <t>27.03.25</t>
  </si>
  <si>
    <t>INDIAN OIL CORP</t>
  </si>
  <si>
    <t>001LCIFU25-0068</t>
  </si>
  <si>
    <t>IOC/POLY/NEPAL/2024-25/0042558871</t>
  </si>
  <si>
    <t>690,BHAWANI</t>
  </si>
  <si>
    <t>HDPE</t>
  </si>
  <si>
    <t>NIHARIKA PAINTS &amp; CHEMICALS</t>
  </si>
  <si>
    <t>11111P17318182</t>
  </si>
  <si>
    <t>NPC/PI/061/24-25</t>
  </si>
  <si>
    <t>TANKER WB23H9754</t>
  </si>
  <si>
    <t>ALKYD RESIN(NH-112-60%</t>
  </si>
  <si>
    <t>101/KG</t>
  </si>
  <si>
    <t>01.04.25</t>
  </si>
  <si>
    <t>30 DAYS PAYMENT</t>
  </si>
  <si>
    <t>JCPL/EXP/2425/49</t>
  </si>
  <si>
    <t>202078516,TCI FRGT</t>
  </si>
  <si>
    <t>02.04.25</t>
  </si>
  <si>
    <t>02611P31478182</t>
  </si>
  <si>
    <t>SBG/PRO/IP/24-25/020</t>
  </si>
  <si>
    <t>8065, MAHESH</t>
  </si>
  <si>
    <t>HYBRID-CORN TX-369</t>
  </si>
  <si>
    <t>275/KG</t>
  </si>
  <si>
    <t>22.03.25
31.03.25</t>
  </si>
  <si>
    <t>11.04.25(8)
13.04.25(2)</t>
  </si>
  <si>
    <t>msku5010727
caau2517326
pending, reach 31.03</t>
  </si>
  <si>
    <t>PBT4 cont
pbt 4 cont
pbt 2 cont</t>
  </si>
  <si>
    <t>26.03.25
27.03.25
02.04.25</t>
  </si>
  <si>
    <t>BSF ANIMAL NUTRITION CO LTD</t>
  </si>
  <si>
    <t>HBLIFX09811069</t>
  </si>
  <si>
    <t>SMINICPL250128W</t>
  </si>
  <si>
    <t>TINGIN, CHINA</t>
  </si>
  <si>
    <t>PHYTASE TS (5000U)
BETAINE 96PCT
ANTI MOLD</t>
  </si>
  <si>
    <t>4
14
2</t>
  </si>
  <si>
    <t>2.58/KG
2.3/KG
1.5/KG</t>
  </si>
  <si>
    <t>14.04.25</t>
  </si>
  <si>
    <t>04.04.25</t>
  </si>
  <si>
    <t>JCPL/EXP/2425/50</t>
  </si>
  <si>
    <t>460/24-25, ab transway</t>
  </si>
  <si>
    <t>ISDF0A125USD0321</t>
  </si>
  <si>
    <t>A7501</t>
  </si>
  <si>
    <t>249131907</t>
  </si>
  <si>
    <t>pgc gdk 4  cont
pgc gdk 6 cont</t>
  </si>
  <si>
    <t>04.04.25
06.04.25</t>
  </si>
  <si>
    <t>GODREJ</t>
  </si>
  <si>
    <t>001LCIIS25-0041</t>
  </si>
  <si>
    <t>MH46BU5016,shree ganesh</t>
  </si>
  <si>
    <t>29.03.25</t>
  </si>
  <si>
    <t>03.04.25</t>
  </si>
  <si>
    <t>10.04.25</t>
  </si>
  <si>
    <t>LINYI FENGRUI PLANT PROTECTION ELECTRONIC</t>
  </si>
  <si>
    <t>02621P20568182</t>
  </si>
  <si>
    <t>FRA - 20241225</t>
  </si>
  <si>
    <t>(HTHC25012562, 248942578)
(HTHC25022157 
250230097)</t>
  </si>
  <si>
    <t>09.02.25
21.02.25</t>
  </si>
  <si>
    <t>SPRAY TANKS</t>
  </si>
  <si>
    <t>1834 CARTOONS</t>
  </si>
  <si>
    <t>usd. 31479.62
(10128.72)
(21402.93)</t>
  </si>
  <si>
    <t>1
1</t>
  </si>
  <si>
    <t>40
40</t>
  </si>
  <si>
    <t>02.03.25
30.03.25</t>
  </si>
  <si>
    <t>23.03.25
10.04.25</t>
  </si>
  <si>
    <t>05.04.25
22.04.25</t>
  </si>
  <si>
    <t>pgc gdk 1x40
pgc gdk 1 cont</t>
  </si>
  <si>
    <t>28.03.25
15.04.25</t>
  </si>
  <si>
    <t>HBDFX09811119</t>
  </si>
  <si>
    <t>M7593</t>
  </si>
  <si>
    <t>FREMANTLE, AUS</t>
  </si>
  <si>
    <t>635/MT</t>
  </si>
  <si>
    <t>21.04.25</t>
  </si>
  <si>
    <t>SOLD KAMASHAKTI</t>
  </si>
  <si>
    <t>kamalsati 3 cont
kamalsati 4 cont
kamalsati 4 cont
kamalsati 3 cont
kamalsati 1 cont</t>
  </si>
  <si>
    <t>07.04.25
09.04.25
11.04.25
15.04.25
16.04.25</t>
  </si>
  <si>
    <t>001LCIIU25-0091</t>
  </si>
  <si>
    <t>PROFORMA/24-25/FEB/03</t>
  </si>
  <si>
    <t>IP 011-39772</t>
  </si>
  <si>
    <t>95/KG</t>
  </si>
  <si>
    <t>11.04.25</t>
  </si>
  <si>
    <t>20.04.25</t>
  </si>
  <si>
    <t>PRAMOD ROAD WB23G/0254</t>
  </si>
  <si>
    <t>15.04.25</t>
  </si>
  <si>
    <t>ZARJA AGRO LTD</t>
  </si>
  <si>
    <t>090LCIFS24-0056</t>
  </si>
  <si>
    <t>OEA0206543A</t>
  </si>
  <si>
    <t>1320/MT</t>
  </si>
  <si>
    <t>5(11)</t>
  </si>
  <si>
    <t>23.02.25
29.03.25</t>
  </si>
  <si>
    <t>09.03.25(6)
19.04.25</t>
  </si>
  <si>
    <t>22.03.25
02.05.25</t>
  </si>
  <si>
    <t>6 cont released, beau2804812,cmau1958235, ecmu1879165
tcku1743594,temu4553139 reach</t>
  </si>
  <si>
    <t>pbt 6 cont
pbt 5 cont</t>
  </si>
  <si>
    <t>19.03.25
22.04.25</t>
  </si>
  <si>
    <t>02621P32418182</t>
  </si>
  <si>
    <t>SITRGBRG252977</t>
  </si>
  <si>
    <t>BLACK MATPE FAQ 2024 CROP</t>
  </si>
  <si>
    <t>854/MT</t>
  </si>
  <si>
    <t>02.05.25</t>
  </si>
  <si>
    <t>pgc gdk 5 cont</t>
  </si>
  <si>
    <t>23.04.25</t>
  </si>
  <si>
    <t>DHIRENDRA SOYA AGRO PVT LTD</t>
  </si>
  <si>
    <t>090LCIIS25-0010</t>
  </si>
  <si>
    <t>DSAPL/EC/24-25/119</t>
  </si>
  <si>
    <t>RAIL</t>
  </si>
  <si>
    <t>24.04.25</t>
  </si>
  <si>
    <t>090LCIIS25-0011</t>
  </si>
  <si>
    <t>DSAPL/EC/24-25/80</t>
  </si>
  <si>
    <t>OEA0206543B</t>
  </si>
  <si>
    <t>19.04.25</t>
  </si>
  <si>
    <t>HAWKEYE GOLD</t>
  </si>
  <si>
    <t>ISDF0A125USD0380</t>
  </si>
  <si>
    <t>MW0810380</t>
  </si>
  <si>
    <t>18.12.25</t>
  </si>
  <si>
    <t>BALTIMORE, USA</t>
  </si>
  <si>
    <t>501/MT</t>
  </si>
  <si>
    <t>09.04.25</t>
  </si>
  <si>
    <t>18.04.25</t>
  </si>
  <si>
    <t>01.05.25</t>
  </si>
  <si>
    <t>nwcl 4 cont
nwcl 15 cont
nwcl 3 cont</t>
  </si>
  <si>
    <t>25.04.25
26.04.25
27.04.25</t>
  </si>
  <si>
    <t>162LCIM-0094/25</t>
  </si>
  <si>
    <t>M7513</t>
  </si>
  <si>
    <t>1(4)</t>
  </si>
  <si>
    <t>01.04.25
24.04.25</t>
  </si>
  <si>
    <t>19.04.25
07.05.25</t>
  </si>
  <si>
    <t>4 cont intransit, msku5786813 reach</t>
  </si>
  <si>
    <t>pgc gdk 4 cont
pgc gdk 1 cont</t>
  </si>
  <si>
    <t>08.04.25
02.05.25</t>
  </si>
  <si>
    <t>HBLIFX09810996</t>
  </si>
  <si>
    <t>MEDUD8876952</t>
  </si>
  <si>
    <t>FUNGICAP N
OXICAP E2</t>
  </si>
  <si>
    <t>17000 KGS
3000 KGS</t>
  </si>
  <si>
    <t>1.45/KGS
1.35/KGS</t>
  </si>
  <si>
    <t>06.05.25</t>
  </si>
  <si>
    <t>EVONIK METHIONINE SEA PTE LTD</t>
  </si>
  <si>
    <t>HBLIFX09811300</t>
  </si>
  <si>
    <t>BSLSINBRG2504114</t>
  </si>
  <si>
    <t>2580/MT</t>
  </si>
  <si>
    <t>25.04.25</t>
  </si>
  <si>
    <t>09.05.25</t>
  </si>
  <si>
    <t>vijay clearing 29.04.25</t>
  </si>
  <si>
    <t>02621P30958182</t>
  </si>
  <si>
    <t>BSLSINBRG2504123</t>
  </si>
  <si>
    <t>30.04.25</t>
  </si>
  <si>
    <t>13.05.25</t>
  </si>
  <si>
    <t xml:space="preserve">pgc gdk </t>
  </si>
  <si>
    <t>HBDFX09811180</t>
  </si>
  <si>
    <t>M7623</t>
  </si>
  <si>
    <t>22.04.25</t>
  </si>
  <si>
    <t>12.05.2025</t>
  </si>
  <si>
    <t>pgc gdk 3 cont
pgc gdk 3 cont
pgc gdk 4 cont</t>
  </si>
  <si>
    <t>05.05.25
06.05.25
08.05.25</t>
  </si>
  <si>
    <t>NMB21LC81821938</t>
  </si>
  <si>
    <t>URMPL/61559/2024-25</t>
  </si>
  <si>
    <t>KUWAIT</t>
  </si>
  <si>
    <t>MEDUKW424320</t>
  </si>
  <si>
    <t>895/MT</t>
  </si>
  <si>
    <t>14.05.25</t>
  </si>
  <si>
    <t>08.05.25</t>
  </si>
  <si>
    <t>02611P34648182</t>
  </si>
  <si>
    <t>E048/EXP/PI/2025</t>
  </si>
  <si>
    <t>524304786SUGAM</t>
  </si>
  <si>
    <t>29.04.25</t>
  </si>
  <si>
    <t>BIOPLEX HIGH SEVEN
YEA-SACC
MYCOSORB
MOLD-ZAP</t>
  </si>
  <si>
    <t>4 MT
4 MT
100 KGS
100 KGS</t>
  </si>
  <si>
    <t>503/KG
441/KG
347/KG
179/KG</t>
  </si>
  <si>
    <t>10.05.25</t>
  </si>
  <si>
    <t>11.05.25</t>
  </si>
  <si>
    <t>01.03.25</t>
  </si>
  <si>
    <t>502/MT</t>
  </si>
  <si>
    <t>12.04.25
24.04.05 (1)
10.05.25(1)</t>
  </si>
  <si>
    <t>25.04.25
07.05.25
23.05.25</t>
  </si>
  <si>
    <t>18 cont disp, 
MRKU6753155 reach, MRKU9378253 reach</t>
  </si>
  <si>
    <t>pbt 10 cont
pbt 8 cont
pbt 1 cont
pbt 1 cont</t>
  </si>
  <si>
    <t>20.04.25
21.04.25
02.05.25
14.05.25</t>
  </si>
  <si>
    <t>ISDF0A125USD1149</t>
  </si>
  <si>
    <t>MT04159</t>
  </si>
  <si>
    <t>632/MT</t>
  </si>
  <si>
    <t>26.05.25</t>
  </si>
  <si>
    <t>pgc gdk 6 cont
pgc gdk 8 cont
pbt 5 cont
pbt 2 cont
pgc gdk 4 cont</t>
  </si>
  <si>
    <t>13.05.25
14.05.25
15.05.25
19.05.25
21.05.25</t>
  </si>
  <si>
    <t>HANGZHOU MUGU BIOTECHNOLOGY</t>
  </si>
  <si>
    <t>MUGUE250401</t>
  </si>
  <si>
    <t>AWB 784-68029054</t>
  </si>
  <si>
    <t>VIT B9
VIT D3 500</t>
  </si>
  <si>
    <t>50 KG
200 KG</t>
  </si>
  <si>
    <t>48.8/KG
31.8/KG</t>
  </si>
  <si>
    <t>16.05.25</t>
  </si>
  <si>
    <t>pbt sent</t>
  </si>
  <si>
    <t>21.05.25</t>
  </si>
  <si>
    <t>TATA CHEMICALS LTD</t>
  </si>
  <si>
    <t>301600059, PASHUPATI</t>
  </si>
  <si>
    <t>23000/MT</t>
  </si>
  <si>
    <t>DDT HOLDINGS PTY LTD</t>
  </si>
  <si>
    <t>090LCIFS25-0010</t>
  </si>
  <si>
    <t>DDTS-790</t>
  </si>
  <si>
    <t>AUS CANOLA MIN 44%</t>
  </si>
  <si>
    <t>23.05.25</t>
  </si>
  <si>
    <t>12.06.25</t>
  </si>
  <si>
    <t>pgc gdk 10 cnt</t>
  </si>
  <si>
    <t>27.05.25</t>
  </si>
  <si>
    <t>HBDFX09811175</t>
  </si>
  <si>
    <t>DDTTS-785</t>
  </si>
  <si>
    <t>620/MT</t>
  </si>
  <si>
    <t>pgc gdk 12 cnt</t>
  </si>
  <si>
    <t>29.05.25</t>
  </si>
  <si>
    <t>090LCIFU25-0007</t>
  </si>
  <si>
    <t>NSTUCGL00004SINBRJ
nepal shipping</t>
  </si>
  <si>
    <t>07.05.25</t>
  </si>
  <si>
    <t xml:space="preserve">SINGAPORE </t>
  </si>
  <si>
    <t>usd.109917.5</t>
  </si>
  <si>
    <t>28.05.25</t>
  </si>
  <si>
    <t>10.06.25</t>
  </si>
  <si>
    <t>03.06.25</t>
  </si>
  <si>
    <t>18.05.25</t>
  </si>
  <si>
    <t>31.05.25</t>
  </si>
  <si>
    <t>04.06.25</t>
  </si>
  <si>
    <t>GRAF GMBH</t>
  </si>
  <si>
    <t>17.04.25</t>
  </si>
  <si>
    <t>HAWB MHG58788221</t>
  </si>
  <si>
    <t>DIES</t>
  </si>
  <si>
    <t>EUR.7875.50</t>
  </si>
  <si>
    <t>09.06.25</t>
  </si>
  <si>
    <t>dolahiti</t>
  </si>
  <si>
    <t>OILEX ENG IND PVT LTD</t>
  </si>
  <si>
    <t>TT</t>
  </si>
  <si>
    <t>OLX/PINV/2081-82/233</t>
  </si>
  <si>
    <t>TCI FRGHT 742973560</t>
  </si>
  <si>
    <t>FLOUR MILL STONES 1200 MM</t>
  </si>
  <si>
    <t>2 SET</t>
  </si>
  <si>
    <t>inr. 208800</t>
  </si>
  <si>
    <t>11.06.25</t>
  </si>
  <si>
    <t>14.06.25</t>
  </si>
  <si>
    <t>C002SU0448</t>
  </si>
  <si>
    <t>22.05.25</t>
  </si>
  <si>
    <t>MT04243/A/B/C</t>
  </si>
  <si>
    <t>249633513,</t>
  </si>
  <si>
    <t>631/MT</t>
  </si>
  <si>
    <t>patwari 8 cont
patwari 8 cont
patwari 8 con
patwari 4 con</t>
  </si>
  <si>
    <t>17.06.25
18.06.25
19.06.25
22.06.25</t>
  </si>
  <si>
    <t>C002UI1020</t>
  </si>
  <si>
    <t>P-1115</t>
  </si>
  <si>
    <t>sugam 425300125</t>
  </si>
  <si>
    <t>24.05.25</t>
  </si>
  <si>
    <t>ISKENDEREN</t>
  </si>
  <si>
    <t>LAYMORE
CHROMISAC-CVIT</t>
  </si>
  <si>
    <t>3 MT
2 MT</t>
  </si>
  <si>
    <t>174/KG
265/KG</t>
  </si>
  <si>
    <t>05.06.25</t>
  </si>
  <si>
    <t>22.06.25</t>
  </si>
  <si>
    <t>23.06.25</t>
  </si>
  <si>
    <t>MT04131</t>
  </si>
  <si>
    <t>685/mt</t>
  </si>
  <si>
    <t>26.06.25</t>
  </si>
  <si>
    <t>KEMIN IND SOUTH ASIA</t>
  </si>
  <si>
    <t>C002UI1170</t>
  </si>
  <si>
    <t>TCI F 988305533</t>
  </si>
  <si>
    <t>NUTRIKEM
KURAKO HC DRY</t>
  </si>
  <si>
    <t>4 MT
1 MT</t>
  </si>
  <si>
    <t>480/KG
750/KG</t>
  </si>
  <si>
    <t>27.06.25</t>
  </si>
  <si>
    <t>ROSSARI BIOTECH</t>
  </si>
  <si>
    <t>C002UI1179</t>
  </si>
  <si>
    <t>RB/PRO/25-26/01</t>
  </si>
  <si>
    <t>MATA 7400019360</t>
  </si>
  <si>
    <t>18.06.25</t>
  </si>
  <si>
    <t>MAXI EX
GLUCAXYL</t>
  </si>
  <si>
    <t>2 MT
3 MT</t>
  </si>
  <si>
    <t>385/KG
275/KG</t>
  </si>
  <si>
    <t>090LCIFU25-0008</t>
  </si>
  <si>
    <t>PBOT 2025/0401</t>
  </si>
  <si>
    <t>DLN0236006, cma
cmau2718096</t>
  </si>
  <si>
    <t>28.04.25</t>
  </si>
  <si>
    <t>12.07.25</t>
  </si>
  <si>
    <t>06.07.25</t>
  </si>
  <si>
    <t>BAF PREMIKS VE TARIM SAN.</t>
  </si>
  <si>
    <t>HBLIFX09810987</t>
  </si>
  <si>
    <t>20241231-NP</t>
  </si>
  <si>
    <t>TURKIYE</t>
  </si>
  <si>
    <t>MEDUXK089373</t>
  </si>
  <si>
    <t>KEYTOX ULTRA
KEYTOX SELECT
GREENYEAST</t>
  </si>
  <si>
    <t>12
5
6.5</t>
  </si>
  <si>
    <t>1240/mt
2860/MT
2650/MT</t>
  </si>
  <si>
    <t>05.07.25</t>
  </si>
  <si>
    <t>10.07.25</t>
  </si>
  <si>
    <t>02611P43018182</t>
  </si>
  <si>
    <t>E087/EXP/PI/2025</t>
  </si>
  <si>
    <t>524304823,SUGAM</t>
  </si>
  <si>
    <t>30.06.25</t>
  </si>
  <si>
    <t>BIOPLEX HIGH SEVEN
YEA-SACC</t>
  </si>
  <si>
    <t>503/KG
441/KG</t>
  </si>
  <si>
    <t>11.07.25</t>
  </si>
  <si>
    <t>ND CHEMICALS CO. LTD.</t>
  </si>
  <si>
    <t>DAP HBL</t>
  </si>
  <si>
    <t>NDLDD2025-08</t>
  </si>
  <si>
    <t>SPRING4100B</t>
  </si>
  <si>
    <t>27 MT</t>
  </si>
  <si>
    <t>1245/MT</t>
  </si>
  <si>
    <t>21.06.25</t>
  </si>
  <si>
    <t>19.07.25</t>
  </si>
  <si>
    <t>17.07.25</t>
  </si>
  <si>
    <t>NDLDD2025-07</t>
  </si>
  <si>
    <t>SPRING4100A</t>
  </si>
  <si>
    <t>LYSINE HCL, bags</t>
  </si>
  <si>
    <t>AVITECH NUTRITION PVT LTD.</t>
  </si>
  <si>
    <t>C002UI1751</t>
  </si>
  <si>
    <t>01.07.25</t>
  </si>
  <si>
    <t>AVI(INT-PI)-18</t>
  </si>
  <si>
    <t>209600084, PASHUPATI</t>
  </si>
  <si>
    <t>LIPIDIN X2
PERFORMINS POULTRY
TRISORB</t>
  </si>
  <si>
    <t>3MT
2 MT
2 MT</t>
  </si>
  <si>
    <t>1130000/INR</t>
  </si>
  <si>
    <t>18.07.025</t>
  </si>
  <si>
    <t>SAGAR POULTRIES</t>
  </si>
  <si>
    <t>001LCIIS250061</t>
  </si>
  <si>
    <t>001/2024-25</t>
  </si>
  <si>
    <t>32192 SURAKSHIT</t>
  </si>
  <si>
    <t>POULTRY EQUIPMENT</t>
  </si>
  <si>
    <t>175000 PCS</t>
  </si>
  <si>
    <t>1159500/INR</t>
  </si>
  <si>
    <t>FLETCHER INTERNATIONAL EXP PTY LTD</t>
  </si>
  <si>
    <t>ISDF0A125USD1180</t>
  </si>
  <si>
    <t>24.04.24</t>
  </si>
  <si>
    <t>C0227942</t>
  </si>
  <si>
    <t>01.08.25</t>
  </si>
  <si>
    <t>ok, vijay clearing</t>
  </si>
  <si>
    <t>TCI FRGHT 201869846</t>
  </si>
  <si>
    <t>KHARAGPUR, INDIA</t>
  </si>
  <si>
    <t>13-07-22</t>
  </si>
  <si>
    <t>15-07-22</t>
  </si>
  <si>
    <t>pbt 15-07-22</t>
  </si>
  <si>
    <t>006IMFLC221321</t>
  </si>
  <si>
    <t xml:space="preserve">OM </t>
  </si>
  <si>
    <t>20-07-22</t>
  </si>
  <si>
    <t>pgc gandak 21-07-22</t>
  </si>
  <si>
    <t>TCI FRGHT 201869861</t>
  </si>
  <si>
    <t>15/7/2022</t>
  </si>
  <si>
    <t>pbt 21-07-22</t>
  </si>
  <si>
    <t>BEIJING SMILES</t>
  </si>
  <si>
    <t>NMB21LC78792538</t>
  </si>
  <si>
    <t>HF16SG2204918</t>
  </si>
  <si>
    <t>XINGANG, CHINA</t>
  </si>
  <si>
    <t>PHYTASE,PHY, MANNASE</t>
  </si>
  <si>
    <t>29/6/2022 kol</t>
  </si>
  <si>
    <t>lcl</t>
  </si>
  <si>
    <t>19/5/2022</t>
  </si>
  <si>
    <t>CHAINPUR 22-07-22</t>
  </si>
  <si>
    <t>221-DAP-22</t>
  </si>
  <si>
    <t>29-06-22</t>
  </si>
  <si>
    <t>218882487</t>
  </si>
  <si>
    <t>QINZHOU, CHINA</t>
  </si>
  <si>
    <t>18-07-22</t>
  </si>
  <si>
    <t>31-07-22</t>
  </si>
  <si>
    <t>OK, reach dryport, DO ok</t>
  </si>
  <si>
    <t>PBT 22-07-22</t>
  </si>
  <si>
    <t>IUDSF1122USD1124</t>
  </si>
  <si>
    <t>20.06.2022</t>
  </si>
  <si>
    <t>bhawani 9253</t>
  </si>
  <si>
    <t>DOC OK, DUTY OK</t>
  </si>
  <si>
    <t>PGC FACTORY</t>
  </si>
  <si>
    <t>25-07-22</t>
  </si>
  <si>
    <t>001LCIFU220166</t>
  </si>
  <si>
    <t>23.06.2022</t>
  </si>
  <si>
    <t>darcal, 15880</t>
  </si>
  <si>
    <t>PP H030SG POLYPROPYLENE</t>
  </si>
  <si>
    <t>19-07-22</t>
  </si>
  <si>
    <t>DOCUMENT OK, DUTY OK</t>
  </si>
  <si>
    <t>24-07-22</t>
  </si>
  <si>
    <t>IUDSF1122USD1125</t>
  </si>
  <si>
    <t>bhawani 6497,0826</t>
  </si>
  <si>
    <t>DOC OK</t>
  </si>
  <si>
    <t>25-07-22 duty</t>
  </si>
  <si>
    <t>pgc factory 26-07-22</t>
  </si>
  <si>
    <t>NEW YORK, US</t>
  </si>
  <si>
    <t>5/8/2022, 
damage MSDU2237856</t>
  </si>
  <si>
    <t>OK, ip 14-6, 24 container reach, replace TCKU2195746 pending</t>
  </si>
  <si>
    <t xml:space="preserve">PBT </t>
  </si>
  <si>
    <t>27-07-22</t>
  </si>
  <si>
    <t>IUDSF1122USD1244</t>
  </si>
  <si>
    <t>12.07.2022</t>
  </si>
  <si>
    <t>bhawani 9913, 2740</t>
  </si>
  <si>
    <t>P1030RG PP HOMO RAFFIA</t>
  </si>
  <si>
    <t>doc ok, duty ok28-07-22</t>
  </si>
  <si>
    <t>26-07-22</t>
  </si>
  <si>
    <t>pgc fact</t>
  </si>
  <si>
    <t>29-07-22</t>
  </si>
  <si>
    <t>22ILC0626</t>
  </si>
  <si>
    <t>19-06-22</t>
  </si>
  <si>
    <t>218590413</t>
  </si>
  <si>
    <t>ok,</t>
  </si>
  <si>
    <t>218590487</t>
  </si>
  <si>
    <t>006IMFLC221553</t>
  </si>
  <si>
    <t>savita</t>
  </si>
  <si>
    <t>BRJ 29.07.2022</t>
  </si>
  <si>
    <t>JUBILANT INGREVIA LTD</t>
  </si>
  <si>
    <t>VITAMIN-3</t>
  </si>
  <si>
    <t>P02621U398689</t>
  </si>
  <si>
    <t>ONEYSINC40505500</t>
  </si>
  <si>
    <t>21-07-22</t>
  </si>
  <si>
    <t>21-08-22</t>
  </si>
  <si>
    <t>chainpur 05-08-22</t>
  </si>
  <si>
    <t>HBLIFX09781439</t>
  </si>
  <si>
    <t>MEDUML728661</t>
  </si>
  <si>
    <t>monteral, canada</t>
  </si>
  <si>
    <t>22-07-22</t>
  </si>
  <si>
    <t>15/8/2022</t>
  </si>
  <si>
    <t>pbt 10 cont 05-08-22, 10 cont 07-08-22 pbt fac</t>
  </si>
  <si>
    <t>1350EG PP EXTRUSION</t>
  </si>
  <si>
    <t>001LCIIU22-0126</t>
  </si>
  <si>
    <t>MIX XYELEN</t>
  </si>
  <si>
    <t>AGARAWAL CHEMICALS</t>
  </si>
  <si>
    <t>IUDSF1122INR1248</t>
  </si>
  <si>
    <t>011-54646</t>
  </si>
  <si>
    <t>IP roadline</t>
  </si>
  <si>
    <t>2/8/2022rxl</t>
  </si>
  <si>
    <t>ILC903798000090</t>
  </si>
  <si>
    <t>EXP-TR-22-192-A</t>
  </si>
  <si>
    <t>28-07-22</t>
  </si>
  <si>
    <t>BANGLADESH</t>
  </si>
  <si>
    <t>001INR221325U</t>
  </si>
  <si>
    <t>sugam 341305063</t>
  </si>
  <si>
    <t>MEGACOX</t>
  </si>
  <si>
    <t>14-08-22</t>
  </si>
  <si>
    <t>EB0011FOS02964</t>
  </si>
  <si>
    <t>EXP-TR-22-191-A</t>
  </si>
  <si>
    <t>218772506</t>
  </si>
  <si>
    <t>17-07-22</t>
  </si>
  <si>
    <t>09-08-2022 BRJ</t>
  </si>
  <si>
    <t>22-08-22</t>
  </si>
  <si>
    <t>15-8-22</t>
  </si>
  <si>
    <t>005LCNI22060515</t>
  </si>
  <si>
    <t>KMTCXGG2215150</t>
  </si>
  <si>
    <t>L-LYSINE MONO HYD</t>
  </si>
  <si>
    <t>06-08-22 KOL</t>
  </si>
  <si>
    <t>16-08-22</t>
  </si>
  <si>
    <t>219220904</t>
  </si>
  <si>
    <t>24/8/2022</t>
  </si>
  <si>
    <t>17-08-22</t>
  </si>
  <si>
    <t>006IMFLC2215955</t>
  </si>
  <si>
    <t>UP61AT2748, 4527</t>
  </si>
  <si>
    <t>17-08-22 duty rec</t>
  </si>
  <si>
    <t>ADM</t>
  </si>
  <si>
    <t>P02621S424589</t>
  </si>
  <si>
    <t>AEL1286445A</t>
  </si>
  <si>
    <t>MELBOURNE, AUS</t>
  </si>
  <si>
    <t>RED LENTIL</t>
  </si>
  <si>
    <t>13/8/2022</t>
  </si>
  <si>
    <t>DOC ok, SHIPPING LINE 
PAYMENT PENDING</t>
  </si>
  <si>
    <t xml:space="preserve">chainpur </t>
  </si>
  <si>
    <t>19-08-22</t>
  </si>
  <si>
    <t>001LCIIU22-0137</t>
  </si>
  <si>
    <t>CC FMB SPL HP364 &amp;  NW454</t>
  </si>
  <si>
    <t>20-08-22</t>
  </si>
  <si>
    <t>GSV PRODUCTS</t>
  </si>
  <si>
    <t>ADV</t>
  </si>
  <si>
    <t>626 SHIVAM ENT</t>
  </si>
  <si>
    <t>OK, REACH BRJ 21-08-22</t>
  </si>
  <si>
    <t xml:space="preserve">PGC HTD </t>
  </si>
  <si>
    <t>ADISSEO ASIA</t>
  </si>
  <si>
    <t>001USD221223U</t>
  </si>
  <si>
    <t>VASSINBRG013945</t>
  </si>
  <si>
    <t>30-07-22</t>
  </si>
  <si>
    <t>15-08-22</t>
  </si>
  <si>
    <t>28-08-22</t>
  </si>
  <si>
    <t>23-08-22</t>
  </si>
  <si>
    <t>P02611S044190</t>
  </si>
  <si>
    <t>BR06GD2789,</t>
  </si>
  <si>
    <t>duty ok 1 truck, doc pend</t>
  </si>
  <si>
    <t>Chainpur</t>
  </si>
  <si>
    <t>25-08-22</t>
  </si>
  <si>
    <t>MALEIC ANHYDRIDE</t>
  </si>
  <si>
    <t>1155098 IP road</t>
  </si>
  <si>
    <t>LITHIUM HYDROXIDE MONOHYDMTE</t>
  </si>
  <si>
    <t>100 KGS</t>
  </si>
  <si>
    <t>pgc htd 25-08-22</t>
  </si>
  <si>
    <t>IUDSF1122USD1271</t>
  </si>
  <si>
    <t>22-08-22 brj</t>
  </si>
  <si>
    <t>26-08-22</t>
  </si>
  <si>
    <t>27-08-22</t>
  </si>
  <si>
    <t>br29ga5580</t>
  </si>
  <si>
    <t>darcal</t>
  </si>
  <si>
    <t>Jamnagar</t>
  </si>
  <si>
    <t>24.08.22 rxl</t>
  </si>
  <si>
    <t>29-08-22</t>
  </si>
  <si>
    <t>001USD221092S</t>
  </si>
  <si>
    <t>SOYBEAN SEED</t>
  </si>
  <si>
    <t>18-08-22</t>
  </si>
  <si>
    <t>30-08-22</t>
  </si>
  <si>
    <t>13-09-22</t>
  </si>
  <si>
    <t>t</t>
  </si>
  <si>
    <t>7 cont 02-09, 3 cont 03-09</t>
  </si>
  <si>
    <t>Akson Oil</t>
  </si>
  <si>
    <t>Shivam NL01L9877</t>
  </si>
  <si>
    <t>24-08-22</t>
  </si>
  <si>
    <t>Vapi, India</t>
  </si>
  <si>
    <t>pgc htd 05-09-22</t>
  </si>
  <si>
    <t>SUNSHINE OIL HK LTD</t>
  </si>
  <si>
    <t>NMB21LC78793414</t>
  </si>
  <si>
    <t>20-06-22</t>
  </si>
  <si>
    <t>SHU/BIR/0722/134</t>
  </si>
  <si>
    <t>Shuwaikh port, Kuwait</t>
  </si>
  <si>
    <t>ok, shipping line payment pending</t>
  </si>
  <si>
    <t>CITY SEEDS CRUSHING</t>
  </si>
  <si>
    <t>EB0011FOS02978</t>
  </si>
  <si>
    <t>Bangladesh</t>
  </si>
  <si>
    <t>EB0011FOS03001</t>
  </si>
  <si>
    <t>EXP-CI-22-293-A</t>
  </si>
  <si>
    <t>EXP-CI-22-293-B</t>
  </si>
  <si>
    <t>EB0011FOS03002</t>
  </si>
  <si>
    <t>EXP-CI-22-294-A</t>
  </si>
  <si>
    <t>TATA CHEMICSAL LTD</t>
  </si>
  <si>
    <t>302601962 PASHUPATI</t>
  </si>
  <si>
    <t>MITHAPUR,INDIA</t>
  </si>
  <si>
    <t>SODIUM BICARBONATE</t>
  </si>
  <si>
    <t>pbt 02-09-22</t>
  </si>
  <si>
    <t>Shivam DD01H9313</t>
  </si>
  <si>
    <t>pgc htd 09-09-22</t>
  </si>
  <si>
    <t>EB0011FOS02936</t>
  </si>
  <si>
    <t>452601502PASHUPATI</t>
  </si>
  <si>
    <t>BHIWANDI, INDIA</t>
  </si>
  <si>
    <t>GEAR BOX</t>
  </si>
  <si>
    <t>31-08-22</t>
  </si>
  <si>
    <t>P02611U045190</t>
  </si>
  <si>
    <t>015721 om transport</t>
  </si>
  <si>
    <t>001LCIIU220155</t>
  </si>
  <si>
    <t>801603091 PASHUPATI</t>
  </si>
  <si>
    <t>29.08.2022</t>
  </si>
  <si>
    <t>006IMFLC221838</t>
  </si>
  <si>
    <t>OM LOGISTIC</t>
  </si>
  <si>
    <t>under release 13-09-22</t>
  </si>
  <si>
    <t>001CCBLS79800053</t>
  </si>
  <si>
    <t>28.07.2022</t>
  </si>
  <si>
    <t>POULTARY EQUIPMENT</t>
  </si>
  <si>
    <t>200000pcs</t>
  </si>
  <si>
    <t>18-09-22</t>
  </si>
  <si>
    <t>7980002SU0050</t>
  </si>
  <si>
    <t>agromix</t>
  </si>
  <si>
    <t xml:space="preserve">HBLIFX07781614  </t>
  </si>
  <si>
    <t>KTSPG2892208801</t>
  </si>
  <si>
    <t>SHANGHAI, CHINA</t>
  </si>
  <si>
    <t>1 LOT</t>
  </si>
  <si>
    <t>19-09-22</t>
  </si>
  <si>
    <t>ALLSEEDS</t>
  </si>
  <si>
    <t>001USD221212S</t>
  </si>
  <si>
    <t>GDANSK,POLAND</t>
  </si>
  <si>
    <t>20-09-22</t>
  </si>
  <si>
    <t>21-09-22</t>
  </si>
  <si>
    <t>RELIANCE</t>
  </si>
  <si>
    <t>006IMFLC221836</t>
  </si>
  <si>
    <t>PP H350FG</t>
  </si>
  <si>
    <t>pgc gandak 21-09-22</t>
  </si>
  <si>
    <t xml:space="preserve">EB0011FOU02851 </t>
  </si>
  <si>
    <t>341305108 sugam</t>
  </si>
  <si>
    <t>22-09-22</t>
  </si>
  <si>
    <t>16-09-22</t>
  </si>
  <si>
    <t>22ILC0548</t>
  </si>
  <si>
    <t>OPLSU22BRG0643</t>
  </si>
  <si>
    <t>HANOI, VIETNAM</t>
  </si>
  <si>
    <t>15-09-22</t>
  </si>
  <si>
    <t>23-09-22</t>
  </si>
  <si>
    <t>MASHUDHIN ORGANICS</t>
  </si>
  <si>
    <t>IUDF01122INR1551</t>
  </si>
  <si>
    <t>7740 ELITE</t>
  </si>
  <si>
    <t>22.08.2022</t>
  </si>
  <si>
    <t>pending at custom due to
material description, release under dharauti 24-09-22</t>
  </si>
  <si>
    <t>ILC903787902232</t>
  </si>
  <si>
    <t>OPLSU22BRG0645</t>
  </si>
  <si>
    <t>31-09-22</t>
  </si>
  <si>
    <t>1/9/2022kol</t>
  </si>
  <si>
    <t>17-09-22</t>
  </si>
  <si>
    <t>NMB21LC78793624</t>
  </si>
  <si>
    <t>001LCIIU22-0168</t>
  </si>
  <si>
    <t>VADODARA, INDIA</t>
  </si>
  <si>
    <t>PP COMPOUND</t>
  </si>
  <si>
    <t>26-09-22</t>
  </si>
  <si>
    <t>ILC903787902277</t>
  </si>
  <si>
    <t>OPLSU22BRG0642</t>
  </si>
  <si>
    <t>28-09-22</t>
  </si>
  <si>
    <t>na5kha4507</t>
  </si>
  <si>
    <t>ILC903787901495</t>
  </si>
  <si>
    <t>OPLSU22BRG0644</t>
  </si>
  <si>
    <t>na8kha2911</t>
  </si>
  <si>
    <t>7980002SU0043</t>
  </si>
  <si>
    <t>219393928</t>
  </si>
  <si>
    <t>PBT fac</t>
  </si>
  <si>
    <t>27-09-22</t>
  </si>
  <si>
    <t>ILC903798000055</t>
  </si>
  <si>
    <t>vhainpur</t>
  </si>
  <si>
    <t>001USD221312S</t>
  </si>
  <si>
    <t>NO2 SOYBEAN</t>
  </si>
  <si>
    <t>29-09-22</t>
  </si>
  <si>
    <t>25-09-22</t>
  </si>
  <si>
    <t>097ILCS80USD0598</t>
  </si>
  <si>
    <t>LDBYGN2208007 SAMUDERA</t>
  </si>
  <si>
    <t>YANGON, MYANMAR</t>
  </si>
  <si>
    <t>BLACK MATPE ( DUGAR 2 &amp; NIMBUS 3)</t>
  </si>
  <si>
    <t>14-09-22</t>
  </si>
  <si>
    <t>30-09-22</t>
  </si>
  <si>
    <t>001LCIFU22-0235</t>
  </si>
  <si>
    <t>21.08.2022</t>
  </si>
  <si>
    <t>CJ DARCEL</t>
  </si>
  <si>
    <t>JAMNAGAR, INDIA</t>
  </si>
  <si>
    <t>ETA RXL 27.09.2022</t>
  </si>
  <si>
    <t>453158 VINAY CARGO</t>
  </si>
  <si>
    <t>CIBLIFX022002056</t>
  </si>
  <si>
    <t>VASRGNBRG000796VASCO</t>
  </si>
  <si>
    <t>16-10-22</t>
  </si>
  <si>
    <t>EB0011FOU02796</t>
  </si>
  <si>
    <t>DNAU025205 CMACGM</t>
  </si>
  <si>
    <t>13-08-22</t>
  </si>
  <si>
    <t>DALIAN, CHINA</t>
  </si>
  <si>
    <t>L-Isoleucine</t>
  </si>
  <si>
    <t>07.10.22</t>
  </si>
  <si>
    <t>14-10-22</t>
  </si>
  <si>
    <t>dryport unload sent pbt</t>
  </si>
  <si>
    <t>DNAU025205</t>
  </si>
  <si>
    <t>EB0011FOS03040</t>
  </si>
  <si>
    <t>EXP-CI-22-295</t>
  </si>
  <si>
    <t>SUNSHINE</t>
  </si>
  <si>
    <t>CIBLIFX022002052</t>
  </si>
  <si>
    <t>SHU/BIR/0822/148
, 220778131</t>
  </si>
  <si>
    <t>SHUWAIKH PORT, KUWAIT</t>
  </si>
  <si>
    <t>18-10-22</t>
  </si>
  <si>
    <t>jmr payment rec 16-10-22, 
DO rec 17-10-22 at 6 pm
container release 18-10-22</t>
  </si>
  <si>
    <t>P02611S151490</t>
  </si>
  <si>
    <t>16-10-22 rxl</t>
  </si>
  <si>
    <t>18-10-22 
doc, duty 19-10</t>
  </si>
  <si>
    <t>19-10-22</t>
  </si>
  <si>
    <t xml:space="preserve">KPR CROPSCIENCES PVT LTD </t>
  </si>
  <si>
    <t>097ILCU80INR0265</t>
  </si>
  <si>
    <t>duty 19-10, doc 02-11-22</t>
  </si>
  <si>
    <t>20-10-22</t>
  </si>
  <si>
    <t>7980002UU0091</t>
  </si>
  <si>
    <t>MEDUOD343309</t>
  </si>
  <si>
    <t>KOPER, SOLVENIA</t>
  </si>
  <si>
    <t>15-10-22</t>
  </si>
  <si>
    <t>24-10-22</t>
  </si>
  <si>
    <t>18-10-22, 5 pm</t>
  </si>
  <si>
    <t>IUDF01122USD01620</t>
  </si>
  <si>
    <t>SHU/BIR/0922/151, 221118634</t>
  </si>
  <si>
    <t>22-10-22</t>
  </si>
  <si>
    <t>jmr payment rec 16-10-22
duty 19-10-22</t>
  </si>
  <si>
    <t>001LCIFU22-0209</t>
  </si>
  <si>
    <t>04.08.2022</t>
  </si>
  <si>
    <t>CJ DARCEL 15990</t>
  </si>
  <si>
    <t>PP H350FG POLYPROPYLENE</t>
  </si>
  <si>
    <t>17-10-22 rxl</t>
  </si>
  <si>
    <t>21-10-22</t>
  </si>
  <si>
    <t xml:space="preserve">22-10-22 </t>
  </si>
  <si>
    <t>001LCIIU22-0181</t>
  </si>
  <si>
    <t>29.09.2022</t>
  </si>
  <si>
    <t xml:space="preserve">PASHUPATI ROAD CARRIER </t>
  </si>
  <si>
    <t>15-10-22rxl</t>
  </si>
  <si>
    <t>IUDF01122INR1684</t>
  </si>
  <si>
    <t>11.09.2022</t>
  </si>
  <si>
    <t>G205040917</t>
  </si>
  <si>
    <t>INLAND WORLD LOGISITC</t>
  </si>
  <si>
    <t>16-10-22rxl</t>
  </si>
  <si>
    <t>GODREJ IND. LTD</t>
  </si>
  <si>
    <t>001LCIIS22-0295</t>
  </si>
  <si>
    <t>20-10-22 rxl</t>
  </si>
  <si>
    <t>001CCBLU79800339</t>
  </si>
  <si>
    <t>30.09.2022</t>
  </si>
  <si>
    <t>copy doc pening</t>
  </si>
  <si>
    <t>SRIRAM BIOSEED</t>
  </si>
  <si>
    <t>P02621U051690</t>
  </si>
  <si>
    <t>ONEYSUBC32484300</t>
  </si>
  <si>
    <t>SURABAYA, INDONESIA</t>
  </si>
  <si>
    <t>21/10/2022</t>
  </si>
  <si>
    <t>HBLIRI09790893</t>
  </si>
  <si>
    <t>425300065, SUGAM</t>
  </si>
  <si>
    <t>27-10-22</t>
  </si>
  <si>
    <t>KARNATAKA, INDIA</t>
  </si>
  <si>
    <t>ORGANOMIN,RUMIYEAST</t>
  </si>
  <si>
    <t>8MT,2MT</t>
  </si>
  <si>
    <t>7980002SU0063</t>
  </si>
  <si>
    <t>TSMD023219CMA</t>
  </si>
  <si>
    <t>17-10-22</t>
  </si>
  <si>
    <t>17-11-22</t>
  </si>
  <si>
    <t>23-10-22</t>
  </si>
  <si>
    <t>CIBLIFX022002060</t>
  </si>
  <si>
    <t>SHU/BIR/0922/165,221610307</t>
  </si>
  <si>
    <t>21-11-22</t>
  </si>
  <si>
    <t>001CCBLU79800338</t>
  </si>
  <si>
    <t>CREDIT 90 DAYS</t>
  </si>
  <si>
    <t>OPTIGEN,BIOPLEX,YEASAC</t>
  </si>
  <si>
    <t>THAI POLYTHENE</t>
  </si>
  <si>
    <t>CIBLIFX022002059</t>
  </si>
  <si>
    <t>18.09.2022</t>
  </si>
  <si>
    <t>ONEYBKKCX4416700</t>
  </si>
  <si>
    <t>LOW DENSITY POLYETHYLENE RESIN</t>
  </si>
  <si>
    <t>14-11-22</t>
  </si>
  <si>
    <t>Shyamji</t>
  </si>
  <si>
    <t>SOYMEAL DOC</t>
  </si>
  <si>
    <t>z</t>
  </si>
  <si>
    <t>PRESTIGE</t>
  </si>
  <si>
    <t>POLYMET SA</t>
  </si>
  <si>
    <t>006IMFLC221988</t>
  </si>
  <si>
    <t>609256953</t>
  </si>
  <si>
    <t>AL JUBYAL</t>
  </si>
  <si>
    <t>PP RAFFIA</t>
  </si>
  <si>
    <t>25-11-22</t>
  </si>
  <si>
    <t>18-11-22</t>
  </si>
  <si>
    <t>23-11-22</t>
  </si>
  <si>
    <t>upahar</t>
  </si>
  <si>
    <t>SONARGAON SEEDS CRUSHING</t>
  </si>
  <si>
    <t>102LCNI22110006</t>
  </si>
  <si>
    <t>15-11-22</t>
  </si>
  <si>
    <t>AGRI OZ COMMODITIES PTY LTD</t>
  </si>
  <si>
    <t>ILC903798000599</t>
  </si>
  <si>
    <t>AEL1396006</t>
  </si>
  <si>
    <t>MELBOURNE,AUSTRALIA</t>
  </si>
  <si>
    <t>RED LENTIL (DUGAR 2 &amp; NIMBUS 8)</t>
  </si>
  <si>
    <t>24-11-22</t>
  </si>
  <si>
    <t>P02621S139490</t>
  </si>
  <si>
    <t>AEL1423710</t>
  </si>
  <si>
    <t>CITY SEED CRUSHING INDUSTRIES</t>
  </si>
  <si>
    <t>102LCNI22110005</t>
  </si>
  <si>
    <t>Afrisian Ginning Ltd</t>
  </si>
  <si>
    <t>CIBLIFX022002061</t>
  </si>
  <si>
    <t>DAR0139177A, cma</t>
  </si>
  <si>
    <t>DAR ES SALAAM, TANZANIA</t>
  </si>
  <si>
    <t>16-11-22</t>
  </si>
  <si>
    <t>PEEKAY AGENCIES</t>
  </si>
  <si>
    <t>CIBLINR022002075</t>
  </si>
  <si>
    <t>801603165 &amp; 166</t>
  </si>
  <si>
    <t xml:space="preserve"> duty7/11/2022</t>
  </si>
  <si>
    <t>27-11-22</t>
  </si>
  <si>
    <t>097ILCS80USD0116</t>
  </si>
  <si>
    <t>AEL1418386</t>
  </si>
  <si>
    <t>RED LENTIL -DUGAR</t>
  </si>
  <si>
    <t>28-10-22</t>
  </si>
  <si>
    <t>20-11-22</t>
  </si>
  <si>
    <t>29-11-22</t>
  </si>
  <si>
    <t>28-11-22</t>
  </si>
  <si>
    <t>GUNA AGRO INDUSTRIES</t>
  </si>
  <si>
    <t>ILC903798000867</t>
  </si>
  <si>
    <t>GUNA, INDIA</t>
  </si>
  <si>
    <t>SONARGAON</t>
  </si>
  <si>
    <t>ILC903798000934</t>
  </si>
  <si>
    <t>ILC903798000931</t>
  </si>
  <si>
    <t>P02611U212890</t>
  </si>
  <si>
    <t>03.11.2022</t>
  </si>
  <si>
    <t>020901 OM TRANSPORT</t>
  </si>
  <si>
    <t>26-11-22</t>
  </si>
  <si>
    <t>001LCIIU220209</t>
  </si>
  <si>
    <t>CC OVEN</t>
  </si>
  <si>
    <t>CC NON OVEN</t>
  </si>
  <si>
    <t>COLOUR MASTERBATCH-BLUE</t>
  </si>
  <si>
    <t>COLOUR MASTERBATCH-G YELLOW</t>
  </si>
  <si>
    <t>COLOUR MASTERBATCH-ORANGE</t>
  </si>
  <si>
    <t>HBDFX09790494</t>
  </si>
  <si>
    <t>26-10-22</t>
  </si>
  <si>
    <t>25-10-22</t>
  </si>
  <si>
    <t>GDANSK, POLAND</t>
  </si>
  <si>
    <t>30-11-22</t>
  </si>
  <si>
    <t>13-12-22</t>
  </si>
  <si>
    <t>102LCNI22110004</t>
  </si>
  <si>
    <t>HBLIFX07790664</t>
  </si>
  <si>
    <t xml:space="preserve">IGPL </t>
  </si>
  <si>
    <t xml:space="preserve">IUDF01122USD1967 </t>
  </si>
  <si>
    <t>07.11.2022</t>
  </si>
  <si>
    <t>IUDF01122USD1960</t>
  </si>
  <si>
    <t>04.11.2022</t>
  </si>
  <si>
    <t>SHU/BIR/1122/188, 22214950</t>
  </si>
  <si>
    <t>17-12-22</t>
  </si>
  <si>
    <t>7980002UU0125</t>
  </si>
  <si>
    <t>TERNOPIL, UKRAINE</t>
  </si>
  <si>
    <t>13/12/2022</t>
  </si>
  <si>
    <t>ok, DUTY PENDING</t>
  </si>
  <si>
    <t>8 cont 08-12,12 cont 09-12</t>
  </si>
  <si>
    <t>EB0011FOS03061</t>
  </si>
  <si>
    <t>712693263, OM</t>
  </si>
  <si>
    <t>PUMP,TUBE</t>
  </si>
  <si>
    <t>712693269, OM</t>
  </si>
  <si>
    <t>SPROCKET,FLOWMETER</t>
  </si>
  <si>
    <t>4&amp;1</t>
  </si>
  <si>
    <t>001LCIFU22-0306</t>
  </si>
  <si>
    <t>R05409100</t>
  </si>
  <si>
    <t>JUBAIL,SAUDI ARABIA</t>
  </si>
  <si>
    <t>POLYPROPYLENE PP519A</t>
  </si>
  <si>
    <t>20-12-22</t>
  </si>
  <si>
    <t>PGC GANDAK</t>
  </si>
  <si>
    <t>CIBLINR022002067</t>
  </si>
  <si>
    <t>05.09.2022</t>
  </si>
  <si>
    <t>POULATRY EQUIPMENT</t>
  </si>
  <si>
    <t>duty ok,doc 12-12-22</t>
  </si>
  <si>
    <t xml:space="preserve">INNOVISTA </t>
  </si>
  <si>
    <t>EB0011FOU02985</t>
  </si>
  <si>
    <t>402304062, SUGAM</t>
  </si>
  <si>
    <t>MADUMAX</t>
  </si>
  <si>
    <t>14-12-</t>
  </si>
  <si>
    <t>15-12-22</t>
  </si>
  <si>
    <t>SINOPHARM INTERNATIONAL HONGKONG LTD</t>
  </si>
  <si>
    <t>HBDFX09790495</t>
  </si>
  <si>
    <t>CNMD270243</t>
  </si>
  <si>
    <t xml:space="preserve">SHANGHAI </t>
  </si>
  <si>
    <t>Maduramycin 0.75%+Nicarbazine 8%</t>
  </si>
  <si>
    <t>22-11-22</t>
  </si>
  <si>
    <t>24-12-22</t>
  </si>
  <si>
    <t>14-12-22</t>
  </si>
  <si>
    <t>16-12-22</t>
  </si>
  <si>
    <t>Maduramycin 1%</t>
  </si>
  <si>
    <t>EB0011FOU02944</t>
  </si>
  <si>
    <t xml:space="preserve">ONEYSINC67735500 </t>
  </si>
  <si>
    <t>23-12-22</t>
  </si>
  <si>
    <t>439552,VINAY</t>
  </si>
  <si>
    <t>439553,VINAY</t>
  </si>
  <si>
    <t>005LCNI22110937</t>
  </si>
  <si>
    <t xml:space="preserve">ONEYSINC68079700 </t>
  </si>
  <si>
    <t>HERO</t>
  </si>
  <si>
    <t>P02611S262690</t>
  </si>
  <si>
    <t>712877135, OM</t>
  </si>
  <si>
    <t>CYCLE</t>
  </si>
  <si>
    <t>302602146, SUGAM</t>
  </si>
  <si>
    <t>SODIUMBICARBONATE</t>
  </si>
  <si>
    <t>MK Merchants SA</t>
  </si>
  <si>
    <t>ILC903798000524</t>
  </si>
  <si>
    <t>MEDUMF811738</t>
  </si>
  <si>
    <t>29-10-22</t>
  </si>
  <si>
    <t>GIOIA, ITALI</t>
  </si>
  <si>
    <t>19-12-22</t>
  </si>
  <si>
    <t>21-12-22</t>
  </si>
  <si>
    <t>097ILCU80USD0270</t>
  </si>
  <si>
    <t>27.09.2022</t>
  </si>
  <si>
    <t>JEDDAH, SAUDI</t>
  </si>
  <si>
    <t>KEYTOX ULTRA</t>
  </si>
  <si>
    <t>GREENYEAST</t>
  </si>
  <si>
    <t>KEYTOX SELECT</t>
  </si>
  <si>
    <t>005LCNI22080781</t>
  </si>
  <si>
    <t>AEL1415016</t>
  </si>
  <si>
    <t>30-10-22</t>
  </si>
  <si>
    <t>22-12-22</t>
  </si>
  <si>
    <t>001USD221971U</t>
  </si>
  <si>
    <t>MEDUJF882420</t>
  </si>
  <si>
    <t>31-12-22</t>
  </si>
  <si>
    <t>001LCIIU22-0233</t>
  </si>
  <si>
    <t>07.12.2022</t>
  </si>
  <si>
    <t>Seasons overseas pte ltd</t>
  </si>
  <si>
    <t>010USD222202S</t>
  </si>
  <si>
    <t>ELYGNCCU221143</t>
  </si>
  <si>
    <t>19-11-22</t>
  </si>
  <si>
    <t>25-12-22</t>
  </si>
  <si>
    <t>27-12-22</t>
  </si>
  <si>
    <t>EB0011FOU02984</t>
  </si>
  <si>
    <t>ONEYSINC71533300</t>
  </si>
  <si>
    <t>26-12-22</t>
  </si>
  <si>
    <t>28-12-22</t>
  </si>
  <si>
    <t>001INR222240U</t>
  </si>
  <si>
    <t>402304067, SUGAM</t>
  </si>
  <si>
    <t>HYDERABAD</t>
  </si>
  <si>
    <t>BANCOX,NEOPOWER</t>
  </si>
  <si>
    <t>3MT,2MT</t>
  </si>
  <si>
    <t>30-12-22</t>
  </si>
  <si>
    <t>ILC0903798001035</t>
  </si>
  <si>
    <t>DEWAS, INDIA</t>
  </si>
  <si>
    <t>DOC</t>
  </si>
  <si>
    <t>29-12-22</t>
  </si>
  <si>
    <t>METINA SINGAPORE PTE LTD</t>
  </si>
  <si>
    <t>001USD222182S</t>
  </si>
  <si>
    <t>JEBEL ALI PORT,DUBAI</t>
  </si>
  <si>
    <t>SOYABEAN SEED, mukti</t>
  </si>
  <si>
    <t>mahalaxmi dal</t>
  </si>
  <si>
    <t>VIPPY INDUSTRIES LTD</t>
  </si>
  <si>
    <t>HBLIRI09791285</t>
  </si>
  <si>
    <t>51/632/2022-23 INV</t>
  </si>
  <si>
    <t>097ILCU80USD0268</t>
  </si>
  <si>
    <t>MEDUD8039999</t>
  </si>
  <si>
    <t>010USD221928S</t>
  </si>
  <si>
    <t>MEDURD112203</t>
  </si>
  <si>
    <t>TEKIRDAG, TURKEY</t>
  </si>
  <si>
    <t>chainpur
balaji</t>
  </si>
  <si>
    <t>3/1/2023
04-01-23</t>
  </si>
  <si>
    <t>10
10</t>
  </si>
  <si>
    <t>FIREFOX</t>
  </si>
  <si>
    <t>P02611S275790</t>
  </si>
  <si>
    <t>FIREFOX CYCLE</t>
  </si>
  <si>
    <t>CIBLINR022002085</t>
  </si>
  <si>
    <t>21.12.2022</t>
  </si>
  <si>
    <t>814221001476 om</t>
  </si>
  <si>
    <t>JUXIN CO.,LIMITED</t>
  </si>
  <si>
    <t>EB0011FOU02893</t>
  </si>
  <si>
    <t>001CCBLS79800520</t>
  </si>
  <si>
    <t>SALAAM, TANZANIA</t>
  </si>
  <si>
    <t>5 CONT 06-01-23
5 cont 07-01-23</t>
  </si>
  <si>
    <t>001LCIFU22-0332</t>
  </si>
  <si>
    <t>14.11.2022</t>
  </si>
  <si>
    <t>16083 CJ DARCEL</t>
  </si>
  <si>
    <t>PP H030SG POLYPROPYLENE(RAFFIA)</t>
  </si>
  <si>
    <t>010USD221805U</t>
  </si>
  <si>
    <t>25.09.2022</t>
  </si>
  <si>
    <t>222264389</t>
  </si>
  <si>
    <t>THERMAX</t>
  </si>
  <si>
    <t>EB0011FOS03052</t>
  </si>
  <si>
    <t>REFINARY PLANT</t>
  </si>
  <si>
    <t>DAR0139177B</t>
  </si>
  <si>
    <t>16-01-23</t>
  </si>
  <si>
    <t>14-01-23</t>
  </si>
  <si>
    <t>13-01-23</t>
  </si>
  <si>
    <t>duty 17-01-23</t>
  </si>
  <si>
    <t>001USD221929S</t>
  </si>
  <si>
    <t>MEDURD130742</t>
  </si>
  <si>
    <t>17-01-23</t>
  </si>
  <si>
    <t>30-01-23</t>
  </si>
  <si>
    <t>20-01-23</t>
  </si>
  <si>
    <t>001LCIFU22-0328</t>
  </si>
  <si>
    <t>R05462987</t>
  </si>
  <si>
    <t>JEDDAH, SAUDI ARABIA</t>
  </si>
  <si>
    <t>PP 5001P148</t>
  </si>
  <si>
    <t>29-01-23</t>
  </si>
  <si>
    <t>duty pending</t>
  </si>
  <si>
    <t>EB0011FOU02943</t>
  </si>
  <si>
    <t>MEDUDI350015</t>
  </si>
  <si>
    <t>19-01-23</t>
  </si>
  <si>
    <t>22-01-23</t>
  </si>
  <si>
    <t>Sajjan Foods DMCC</t>
  </si>
  <si>
    <t>1kt787158</t>
  </si>
  <si>
    <t>JEBEL ALI</t>
  </si>
  <si>
    <t>26-01-23</t>
  </si>
  <si>
    <t>24-01-23</t>
  </si>
  <si>
    <t>P02611S312090</t>
  </si>
  <si>
    <t>SAVITA 1985/TCI FR 201922431</t>
  </si>
  <si>
    <t>KHARAGPUR</t>
  </si>
  <si>
    <t>23-01-23</t>
  </si>
  <si>
    <t>25-01-23</t>
  </si>
  <si>
    <t>OMEGA PLASTO</t>
  </si>
  <si>
    <t>001CCBLU79800601</t>
  </si>
  <si>
    <t>GUJRAT</t>
  </si>
  <si>
    <t>pENDING</t>
  </si>
  <si>
    <t>without bibini</t>
  </si>
  <si>
    <t>KAUSHIK PRINTING INK</t>
  </si>
  <si>
    <t>001LCIIU23-0005</t>
  </si>
  <si>
    <t>cif</t>
  </si>
  <si>
    <t>INK &amp; REDUCTER</t>
  </si>
  <si>
    <t>RXL17.01.2023</t>
  </si>
  <si>
    <t>18-01-23</t>
  </si>
  <si>
    <t>AGRAWAL PACKERS,808802</t>
  </si>
  <si>
    <t>kolkata</t>
  </si>
  <si>
    <t>27-01-23</t>
  </si>
  <si>
    <t xml:space="preserve">FERTINVEST </t>
  </si>
  <si>
    <t>DAP prabhu</t>
  </si>
  <si>
    <t>DAR0139111</t>
  </si>
  <si>
    <t>duty 27-01-23</t>
  </si>
  <si>
    <t>SKYSTONE FEED CO.LTD.</t>
  </si>
  <si>
    <t>DAP CENTURY</t>
  </si>
  <si>
    <t>CNHX102388</t>
  </si>
  <si>
    <t>BETAINE ANHYDROUS</t>
  </si>
  <si>
    <t>IUDF01122USD2134</t>
  </si>
  <si>
    <t>16097 CJ</t>
  </si>
  <si>
    <t>PP030SG</t>
  </si>
  <si>
    <t>duty paid 27-1-23</t>
  </si>
  <si>
    <t>28-02-23</t>
  </si>
  <si>
    <t>160987 CJ</t>
  </si>
  <si>
    <t>28-01-23</t>
  </si>
  <si>
    <t>DOC OK, DUTY ok</t>
  </si>
  <si>
    <t>31-01-23</t>
  </si>
  <si>
    <t>005LCNI22111021</t>
  </si>
  <si>
    <t>L-LYSINE MONOHYD</t>
  </si>
  <si>
    <t xml:space="preserve">MARINA COMMODITIES </t>
  </si>
  <si>
    <t>005LCNI22121049</t>
  </si>
  <si>
    <t>AEL1476655</t>
  </si>
  <si>
    <t>ADELAIDE, AUSTRALIA</t>
  </si>
  <si>
    <t xml:space="preserve">RED LENTIL </t>
  </si>
  <si>
    <t>EB0011FOS03135</t>
  </si>
  <si>
    <t>18-12-22</t>
  </si>
  <si>
    <t>AEL1471319</t>
  </si>
  <si>
    <t>Australia</t>
  </si>
  <si>
    <t xml:space="preserve">SOFIA COMMODITIES SWITZERLAND </t>
  </si>
  <si>
    <t>DAP PRABHU DP0262101023</t>
  </si>
  <si>
    <t>HLCUBU3221122690</t>
  </si>
  <si>
    <t>BUENOS AIRES,ARGENTINA</t>
  </si>
  <si>
    <t>MUNG</t>
  </si>
  <si>
    <t>26-1-23</t>
  </si>
  <si>
    <t>001LCIIU23-0008</t>
  </si>
  <si>
    <t>26128645, OM</t>
  </si>
  <si>
    <t>SINGUR, KOLKATA</t>
  </si>
  <si>
    <t>CC FMB &amp; MB</t>
  </si>
  <si>
    <t>439583 vinay cargo</t>
  </si>
  <si>
    <t>ALFA TRADING LIMITED</t>
  </si>
  <si>
    <t>EB0011FOS03075</t>
  </si>
  <si>
    <t>MEDUOD352797</t>
  </si>
  <si>
    <t>21/1/2023</t>
  </si>
  <si>
    <t>20-02-23</t>
  </si>
  <si>
    <t>097ILCS80USD483</t>
  </si>
  <si>
    <t>01.09.2022</t>
  </si>
  <si>
    <t>1KT739032</t>
  </si>
  <si>
    <t>VANCOVAR,CANADA</t>
  </si>
  <si>
    <t>13-02-23</t>
  </si>
  <si>
    <t>ip 06-02-23</t>
  </si>
  <si>
    <t>POLYMET</t>
  </si>
  <si>
    <t>IUDFD1122USD2135</t>
  </si>
  <si>
    <t>JEA/CCU/22/07535</t>
  </si>
  <si>
    <t>PP RESIN HGX030 SP</t>
  </si>
  <si>
    <t>HBLIFX09790757</t>
  </si>
  <si>
    <t>AEL1489995</t>
  </si>
  <si>
    <t>17-02-23</t>
  </si>
  <si>
    <t>ok, IP ok</t>
  </si>
  <si>
    <t>ADAMS AUSTRALIA PTY LTD</t>
  </si>
  <si>
    <t>005LCNI22121108</t>
  </si>
  <si>
    <t>AEL1469978</t>
  </si>
  <si>
    <t>MELBOURNE, AUSTRALIA</t>
  </si>
  <si>
    <t>RED LENTIL 
(DUGAR 2 &amp; NIMBUS 8)</t>
  </si>
  <si>
    <t>14-02-23</t>
  </si>
  <si>
    <t>ip 06-02-23
doc 08-02-23</t>
  </si>
  <si>
    <t>005LCNI23010031</t>
  </si>
  <si>
    <t>BUDAPEST, HUNGARY</t>
  </si>
  <si>
    <t>RAPE SEED</t>
  </si>
  <si>
    <t>31-01023</t>
  </si>
  <si>
    <t>P02621U333490</t>
  </si>
  <si>
    <t>pbt 17</t>
  </si>
  <si>
    <t>13-2-23</t>
  </si>
  <si>
    <t>001LCIIU23-0007</t>
  </si>
  <si>
    <t>12.01.2023</t>
  </si>
  <si>
    <t>2002/2022-23</t>
  </si>
  <si>
    <t>Singur, India</t>
  </si>
  <si>
    <t>Calcium Carbonate FMB</t>
  </si>
  <si>
    <t>AEL1486926A</t>
  </si>
  <si>
    <t>001LCIIU23-0011</t>
  </si>
  <si>
    <t>06.01.2023</t>
  </si>
  <si>
    <t>Jamnagar, india</t>
  </si>
  <si>
    <t>PP H350FG PP (LAMINATION)</t>
  </si>
  <si>
    <t>09-02-023</t>
  </si>
  <si>
    <t>15-02-23</t>
  </si>
  <si>
    <t>HBLIFX09790820</t>
  </si>
  <si>
    <t>AEL1494727A</t>
  </si>
  <si>
    <t>16-02-23</t>
  </si>
  <si>
    <t>pending, ip ok, duty 14-02-23</t>
  </si>
  <si>
    <t>14-02-23 at 5 pm</t>
  </si>
  <si>
    <t>15-02-23, 5.30 pm</t>
  </si>
  <si>
    <t>SWISS SINGAPORE</t>
  </si>
  <si>
    <t>ILC903798001195</t>
  </si>
  <si>
    <t>25-02-23</t>
  </si>
  <si>
    <t>21-02-23,5pm</t>
  </si>
  <si>
    <t>22-02-23</t>
  </si>
  <si>
    <t>NMB21LC79801643</t>
  </si>
  <si>
    <t>19-02-23</t>
  </si>
  <si>
    <t>RULEXX PETROLEUM</t>
  </si>
  <si>
    <t>EB0011FOU03041</t>
  </si>
  <si>
    <t>BUDAPEST</t>
  </si>
  <si>
    <t>23-02-23</t>
  </si>
  <si>
    <t>21-02-23, 5 pm</t>
  </si>
  <si>
    <t>TATA CHEMICALS</t>
  </si>
  <si>
    <t>FT2303133513/014</t>
  </si>
  <si>
    <t>load</t>
  </si>
  <si>
    <t>TT, PENDING</t>
  </si>
  <si>
    <t>HBLIFX09790682</t>
  </si>
  <si>
    <t>SOYABEANS</t>
  </si>
  <si>
    <t>24-02-23</t>
  </si>
  <si>
    <t>P35121S376390</t>
  </si>
  <si>
    <t>ELYGNCCU230139</t>
  </si>
  <si>
    <t>27-02-23</t>
  </si>
  <si>
    <t>24-02-23 doc, duty 26-02-23</t>
  </si>
  <si>
    <t>ok,hasu4235186 , pending</t>
  </si>
  <si>
    <t>BEIJING SMILE</t>
  </si>
  <si>
    <t>NMB21LC79801970</t>
  </si>
  <si>
    <t>PHYTASE
XYLANASE
BETAINE</t>
  </si>
  <si>
    <t>26-02-23</t>
  </si>
  <si>
    <t>EVONIK METHIONINE</t>
  </si>
  <si>
    <t>090LCIFU230003</t>
  </si>
  <si>
    <t>ONEYSIND03914900</t>
  </si>
  <si>
    <t>001USD230034S</t>
  </si>
  <si>
    <t>13-03-23</t>
  </si>
  <si>
    <t>ok ip ok</t>
  </si>
  <si>
    <t>SD MAERSK</t>
  </si>
  <si>
    <t>P02621U344090</t>
  </si>
  <si>
    <t>18.01.23</t>
  </si>
  <si>
    <t>ONEYSIND03909600</t>
  </si>
  <si>
    <t>P35111U384190</t>
  </si>
  <si>
    <t>16.02.2023</t>
  </si>
  <si>
    <t>CC FMB &amp; YARN</t>
  </si>
  <si>
    <t>001LCIFU23-0042</t>
  </si>
  <si>
    <t>03.02.2023</t>
  </si>
  <si>
    <t>16146-47</t>
  </si>
  <si>
    <t>CJ</t>
  </si>
  <si>
    <t>PP H350FG POLYPROPYLENE (LAMINATION)</t>
  </si>
  <si>
    <t>27-02-23 rxl</t>
  </si>
  <si>
    <t>090LCIFS23-0005</t>
  </si>
  <si>
    <t>AEL1485970</t>
  </si>
  <si>
    <t>awadh 5, pbt 5</t>
  </si>
  <si>
    <t>HBLIFX09790953</t>
  </si>
  <si>
    <t>MEDULO162381</t>
  </si>
  <si>
    <t>15-0</t>
  </si>
  <si>
    <t>05-03-23, 5 pm</t>
  </si>
  <si>
    <t>MEDULO162407</t>
  </si>
  <si>
    <t>14-03-23</t>
  </si>
  <si>
    <t>IUDF01122USD2115</t>
  </si>
  <si>
    <t>16150, cj</t>
  </si>
  <si>
    <t>PP H350FG POLYPROPYLENE(LAMINATION)</t>
  </si>
  <si>
    <t>090LCIFS23-0001</t>
  </si>
  <si>
    <t>Argentina </t>
  </si>
  <si>
    <t>SOYBEAN MEAL  CAKE</t>
  </si>
  <si>
    <t>18-03-23</t>
  </si>
  <si>
    <t>ok, ip ok, fullfat maline</t>
  </si>
  <si>
    <t>6 cont 10-03-23,6cont 11-03-23</t>
  </si>
  <si>
    <t>7980002SU0191</t>
  </si>
  <si>
    <t>NEW YORK</t>
  </si>
  <si>
    <t>18/3/2023</t>
  </si>
  <si>
    <t>5 cont 10-03-23, 5 cont 11-03-23, 10 cont 13-03-23</t>
  </si>
  <si>
    <t>MEDULO162399</t>
  </si>
  <si>
    <t>HBLIFX09790772</t>
  </si>
  <si>
    <t>20-03-23</t>
  </si>
  <si>
    <t>6 cont 15-03-23, 5 cont 16-03-23</t>
  </si>
  <si>
    <t>viacom</t>
  </si>
  <si>
    <t>099DAPBL23-0001</t>
  </si>
  <si>
    <t>MEDUTZ204784</t>
  </si>
  <si>
    <t>15-03-23</t>
  </si>
  <si>
    <t>18-03-12</t>
  </si>
  <si>
    <t>001LCIFU23-0044</t>
  </si>
  <si>
    <t>Bhawani</t>
  </si>
  <si>
    <t>PP F AND F 1350YG</t>
  </si>
  <si>
    <t>16-03-23</t>
  </si>
  <si>
    <t>17-03-23</t>
  </si>
  <si>
    <t>LATINEX INTERNATIONAL</t>
  </si>
  <si>
    <t>097ILCS80USD1076</t>
  </si>
  <si>
    <t>13-11-22</t>
  </si>
  <si>
    <t>16-12-23</t>
  </si>
  <si>
    <t>PTO CABELLO VENEZUELA</t>
  </si>
  <si>
    <t>ok, DUTY 19-3-23</t>
  </si>
  <si>
    <t>001LCIFU23-0045</t>
  </si>
  <si>
    <t>06.02.2023</t>
  </si>
  <si>
    <t>PP F&amp;F 1350YG </t>
  </si>
  <si>
    <t>ok, duty 20-03-23 at 2 pm</t>
  </si>
  <si>
    <t>21-03-23</t>
  </si>
  <si>
    <t>P35111U400390</t>
  </si>
  <si>
    <t>20-03-23 at 5 pm</t>
  </si>
  <si>
    <t>22-03-23</t>
  </si>
  <si>
    <t>001LCIFU23-0043</t>
  </si>
  <si>
    <t>TALGMS02751282
TRANSASIA</t>
  </si>
  <si>
    <t>MARLEX POLYPROPYLENE RESIN HGX-030 SP (RAFFIA)</t>
  </si>
  <si>
    <t>19-03-23</t>
  </si>
  <si>
    <t>26-03-23</t>
  </si>
  <si>
    <t>ok, duty ok 21-03-23</t>
  </si>
  <si>
    <t>UP17AT-7677
BRC/P/NEP/221</t>
  </si>
  <si>
    <t>ok, duty 22-03-23</t>
  </si>
  <si>
    <t>MEDUOD353308</t>
  </si>
  <si>
    <t>31-03-23</t>
  </si>
  <si>
    <t>25-03-23</t>
  </si>
  <si>
    <t>7980002SU0247</t>
  </si>
  <si>
    <t>23-03-23</t>
  </si>
  <si>
    <t>PBT 7 CONT24-03,11 cont25-03</t>
  </si>
  <si>
    <t>27-03-23</t>
  </si>
  <si>
    <t>EB0011FOS03173</t>
  </si>
  <si>
    <t>24-03-34</t>
  </si>
  <si>
    <t>001LCIFU23-0077</t>
  </si>
  <si>
    <t>05.03.2023</t>
  </si>
  <si>
    <t>PP H350FG (LAMINATION)</t>
  </si>
  <si>
    <t>24-03-23</t>
  </si>
  <si>
    <t xml:space="preserve">ok duty 27-03-23 </t>
  </si>
  <si>
    <t>001USD230002U</t>
  </si>
  <si>
    <t>29-03-23</t>
  </si>
  <si>
    <t>24-03-23 at 1.30 pm</t>
  </si>
  <si>
    <t>HBLIFX09790746</t>
  </si>
  <si>
    <t>HAIPHONG, VIETNAM</t>
  </si>
  <si>
    <t>SPECTEC</t>
  </si>
  <si>
    <t>HBLIRI09791652</t>
  </si>
  <si>
    <t>MUMBAI</t>
  </si>
  <si>
    <t>10 TPD ESTERIFICATION</t>
  </si>
  <si>
    <t>005LCNI23030190</t>
  </si>
  <si>
    <t>02.03.2023</t>
  </si>
  <si>
    <t xml:space="preserve">SOYABEAN EXTRACTION </t>
  </si>
  <si>
    <t>27-03-23at7.30pm</t>
  </si>
  <si>
    <t>097ILCS80INR1417</t>
  </si>
  <si>
    <t>03.03.2023</t>
  </si>
  <si>
    <t>ALTEK INTERNATIONAL FZE</t>
  </si>
  <si>
    <t>001CCBLS79800571</t>
  </si>
  <si>
    <t>Paranagua</t>
  </si>
  <si>
    <t>OK, duty ok 28-03-23</t>
  </si>
  <si>
    <t>16185 cj</t>
  </si>
  <si>
    <t>30-03-23</t>
  </si>
  <si>
    <t>DOc ok &amp; DUTY ok</t>
  </si>
  <si>
    <t xml:space="preserve">Shriram Bioseed Genetics </t>
  </si>
  <si>
    <t>P02611U419990</t>
  </si>
  <si>
    <t>17.03.2023</t>
  </si>
  <si>
    <t>CORN RAJKUMAR AND 9220</t>
  </si>
  <si>
    <t>LOHIA CORP</t>
  </si>
  <si>
    <t>P35111U384090</t>
  </si>
  <si>
    <t>mata transport</t>
  </si>
  <si>
    <t>PP MFL YARN</t>
  </si>
  <si>
    <t>P02621S352990</t>
  </si>
  <si>
    <t>QINGDAO,CHINA</t>
  </si>
  <si>
    <t>P02621S355290</t>
  </si>
  <si>
    <t>P02621S312690</t>
  </si>
  <si>
    <t>HBLIFX09790819</t>
  </si>
  <si>
    <t>ZIMUVAN951965</t>
  </si>
  <si>
    <t>9(20)</t>
  </si>
  <si>
    <t>14-04-23</t>
  </si>
  <si>
    <t>ok, IP ok, 9 CONT DISP</t>
  </si>
  <si>
    <t>9 cont 03-04-23</t>
  </si>
  <si>
    <t>HBLIFX09790704</t>
  </si>
  <si>
    <t>DNAU027514</t>
  </si>
  <si>
    <t>L-VALINE
L-ISOLEUCINE</t>
  </si>
  <si>
    <t>6 MT</t>
  </si>
  <si>
    <t>13-04-23</t>
  </si>
  <si>
    <t>7980002SU0248</t>
  </si>
  <si>
    <t>MEDULG331944</t>
  </si>
  <si>
    <t>OK, IP OK</t>
  </si>
  <si>
    <t>DAESANG CORPORATION</t>
  </si>
  <si>
    <t>EB0011FOS03164</t>
  </si>
  <si>
    <t>L LYSINE SHULPHATE</t>
  </si>
  <si>
    <t>P02621S353090</t>
  </si>
  <si>
    <t>18-04-23</t>
  </si>
  <si>
    <t>ok, ip 05-04-23</t>
  </si>
  <si>
    <t>001LCIIU23-0078</t>
  </si>
  <si>
    <t>28.03.2023</t>
  </si>
  <si>
    <t>BR29GA3076</t>
  </si>
  <si>
    <t>OK, duty 04-04-23</t>
  </si>
  <si>
    <t>001LCIIU23-0077</t>
  </si>
  <si>
    <t>ok, IP ok, 11 CONT DISP</t>
  </si>
  <si>
    <t>CREDIT 60 DAYS</t>
  </si>
  <si>
    <t>PARGAN</t>
  </si>
  <si>
    <t>EB0011FOS03204</t>
  </si>
  <si>
    <t>MEDULG328601</t>
  </si>
  <si>
    <t>15-04-23</t>
  </si>
  <si>
    <t>ok, IP OK, INV ok</t>
  </si>
  <si>
    <t xml:space="preserve">PARGAN SINGAPORE PTE </t>
  </si>
  <si>
    <t>7980002SU0275</t>
  </si>
  <si>
    <t>MEDULG334245</t>
  </si>
  <si>
    <t xml:space="preserve">PEPTECH </t>
  </si>
  <si>
    <t>P02611U359890</t>
  </si>
  <si>
    <t>26.01.2023</t>
  </si>
  <si>
    <t xml:space="preserve">PASHUPATI ROAD </t>
  </si>
  <si>
    <t xml:space="preserve">PESTICIDE </t>
  </si>
  <si>
    <t>RAXAUL</t>
  </si>
  <si>
    <t xml:space="preserve">03.03.2023 </t>
  </si>
  <si>
    <t>doc reach</t>
  </si>
  <si>
    <t>MEDULG334294</t>
  </si>
  <si>
    <t>ok,ipok,inv ok</t>
  </si>
  <si>
    <t>P35121U377690</t>
  </si>
  <si>
    <t>10.02.2023</t>
  </si>
  <si>
    <t>006 &amp; 007</t>
  </si>
  <si>
    <t xml:space="preserve">PP HOMO RAFFIA 1030RG </t>
  </si>
  <si>
    <t>doc ok, bank 06-04-23, duty 10-04</t>
  </si>
  <si>
    <t>P02621U388590</t>
  </si>
  <si>
    <t>BSLSINCCU2303112</t>
  </si>
  <si>
    <t>19-04-23</t>
  </si>
  <si>
    <t>MEDULG329732</t>
  </si>
  <si>
    <t>15-03-22</t>
  </si>
  <si>
    <t>20-04-23</t>
  </si>
  <si>
    <t>ok, ip OK,inv ok</t>
  </si>
  <si>
    <t>MEDULG328692</t>
  </si>
  <si>
    <t>1(5) reach)</t>
  </si>
  <si>
    <t>21-04-23</t>
  </si>
  <si>
    <t>ok, inv ok,ipok, 5 cont reach</t>
  </si>
  <si>
    <t>6/4/2023
MSCU6637369 not rech</t>
  </si>
  <si>
    <t>pbt 5 cont</t>
  </si>
  <si>
    <t>EB0011FOU03139</t>
  </si>
  <si>
    <t>BSLSINCCU2303121</t>
  </si>
  <si>
    <t>17-04-23</t>
  </si>
  <si>
    <t>MEDULG325227</t>
  </si>
  <si>
    <t>9(6)</t>
  </si>
  <si>
    <t>30-04-23</t>
  </si>
  <si>
    <t xml:space="preserve">ok, IP ok, </t>
  </si>
  <si>
    <t>EB0011FOS03227</t>
  </si>
  <si>
    <t>MEDULG324238</t>
  </si>
  <si>
    <t>7(4)</t>
  </si>
  <si>
    <t>28-04-23</t>
  </si>
  <si>
    <t>23-04-23</t>
  </si>
  <si>
    <t>20-04-23 11.30 am</t>
  </si>
  <si>
    <t>pbt 4 cont</t>
  </si>
  <si>
    <t>22-04-23</t>
  </si>
  <si>
    <t>MEDULG331969</t>
  </si>
  <si>
    <t>MEDULG324626</t>
  </si>
  <si>
    <t>MEDULG334211</t>
  </si>
  <si>
    <t>MEDULG332009</t>
  </si>
  <si>
    <t>KAUSHIK INK</t>
  </si>
  <si>
    <t>001LCIIU23-0081</t>
  </si>
  <si>
    <t>29.03.2023</t>
  </si>
  <si>
    <t>IP ROADLINES</t>
  </si>
  <si>
    <t>INK &amp; REDUCER</t>
  </si>
  <si>
    <t>17.04.2023</t>
  </si>
  <si>
    <t>19-04-23, duty 19-04</t>
  </si>
  <si>
    <t>090LCIIU23-0012</t>
  </si>
  <si>
    <t>21-04-23 12 PM</t>
  </si>
  <si>
    <t>ILC903798001562</t>
  </si>
  <si>
    <t>AEL1525917</t>
  </si>
  <si>
    <t>16-04-23</t>
  </si>
  <si>
    <t>29-04-23</t>
  </si>
  <si>
    <t>25-04-23</t>
  </si>
  <si>
    <t>OKI GENERAL TRADING LLC</t>
  </si>
  <si>
    <t>EB0011FOS03225</t>
  </si>
  <si>
    <t>MEDULO167174</t>
  </si>
  <si>
    <t>OK, ipok</t>
  </si>
  <si>
    <t>001LCI23-0084</t>
  </si>
  <si>
    <t xml:space="preserve">CC FMB  FMB SPL HP364 </t>
  </si>
  <si>
    <t>24-04-23</t>
  </si>
  <si>
    <t>OK,bank 21-04-23</t>
  </si>
  <si>
    <t>Filler Masterbatch TPT 302</t>
  </si>
  <si>
    <t>duty 24-04-23</t>
  </si>
  <si>
    <t>Colour Masterbatch</t>
  </si>
  <si>
    <t>Polypropylene Compound</t>
  </si>
  <si>
    <t>VALENCY INT</t>
  </si>
  <si>
    <t>090LCIFS23-0016</t>
  </si>
  <si>
    <t>MEDULG337503</t>
  </si>
  <si>
    <t>TINCAN/LAGOS, NIGERIA</t>
  </si>
  <si>
    <t>SOYBEANS</t>
  </si>
  <si>
    <t>EB0011FOS03214</t>
  </si>
  <si>
    <t>ok, ipok</t>
  </si>
  <si>
    <t>patwari 10 cont27 &amp;10cont28.04</t>
  </si>
  <si>
    <t>7980002SU0291</t>
  </si>
  <si>
    <t>MEDUMC752174</t>
  </si>
  <si>
    <t>HALIFAX,NS</t>
  </si>
  <si>
    <t>bank 09-04-23, 27-04 at2 pm</t>
  </si>
  <si>
    <t>8 mahavir 28-04, 8 pbt 28-04, 4 pbt 30-04</t>
  </si>
  <si>
    <t>SSA AGRI DMCC</t>
  </si>
  <si>
    <t>ILC903798001488</t>
  </si>
  <si>
    <t>AEL1513479D</t>
  </si>
  <si>
    <t>27-04-23</t>
  </si>
  <si>
    <t>pbt 03-05-23</t>
  </si>
  <si>
    <t>001LCIFU23-0092</t>
  </si>
  <si>
    <t>20.03.2023</t>
  </si>
  <si>
    <t>JEA/CCU/23/09919</t>
  </si>
  <si>
    <t>MARLEX POLYPROPYLENE RESIN</t>
  </si>
  <si>
    <t>05-05-23
07-05-23</t>
  </si>
  <si>
    <t>ok, bank 17-04-23</t>
  </si>
  <si>
    <t>24-04-23, DUTY 08-05-23</t>
  </si>
  <si>
    <t>both truck released on 08-05-23
driver not come,unload 09-05</t>
  </si>
  <si>
    <t>EB0011FOU03169</t>
  </si>
  <si>
    <t>BSLSINCCU2304158</t>
  </si>
  <si>
    <t>13-05-23</t>
  </si>
  <si>
    <t>001LCIIU23-0104</t>
  </si>
  <si>
    <t>03.05.2023</t>
  </si>
  <si>
    <t>BR29L0438</t>
  </si>
  <si>
    <t>CC FMB &amp; MASTERBATCH</t>
  </si>
  <si>
    <t>ok, bank 07-05-23</t>
  </si>
  <si>
    <t>11AM</t>
  </si>
  <si>
    <t>EB0011FOS03203</t>
  </si>
  <si>
    <t>034D507639 WANHAI</t>
  </si>
  <si>
    <t>20-05-23</t>
  </si>
  <si>
    <t xml:space="preserve">EVONIK METHIONINE </t>
  </si>
  <si>
    <t>P02621U413790</t>
  </si>
  <si>
    <t>12.03.2023</t>
  </si>
  <si>
    <t>BSLSINCCU2304157</t>
  </si>
  <si>
    <t xml:space="preserve">DL-Methionine </t>
  </si>
  <si>
    <t>001LCIFU-0108</t>
  </si>
  <si>
    <t>bhawani053054</t>
  </si>
  <si>
    <r>
      <t>PP HOMO RAFFIA 1030RG</t>
    </r>
    <r>
      <rPr>
        <sz val="11"/>
        <color theme="1"/>
        <rFont val="Calibri"/>
        <family val="2"/>
        <scheme val="minor"/>
      </rPr>
      <t xml:space="preserve"> </t>
    </r>
  </si>
  <si>
    <t>bank 09-05-23, ok 09-05-23</t>
  </si>
  <si>
    <t>duty 10-05-23</t>
  </si>
  <si>
    <t>bibini ok</t>
  </si>
  <si>
    <t>28-04-23 bibini, duty ok</t>
  </si>
  <si>
    <t>14-05-23 htd pgc</t>
  </si>
  <si>
    <t>001LCIIU23-0105</t>
  </si>
  <si>
    <t>BR04GA5811</t>
  </si>
  <si>
    <t>OK, bank 12-05-23</t>
  </si>
  <si>
    <t>12-05-23, DUTY 12-05-23</t>
  </si>
  <si>
    <t>pgc brj</t>
  </si>
  <si>
    <t>P02611U459090</t>
  </si>
  <si>
    <t>RESHMA-786</t>
  </si>
  <si>
    <t>7980002su0301</t>
  </si>
  <si>
    <t>MEDULO173008</t>
  </si>
  <si>
    <t>25-05-23</t>
  </si>
  <si>
    <t>14-05-23</t>
  </si>
  <si>
    <t>15-05-23</t>
  </si>
  <si>
    <t>30-03023</t>
  </si>
  <si>
    <t>MEDUMC750772</t>
  </si>
  <si>
    <t>23-05-23</t>
  </si>
  <si>
    <t>16-05-23</t>
  </si>
  <si>
    <t>5 cont 17-0-23, 10 cont 18-05-23</t>
  </si>
  <si>
    <t>HBLIUIC01790426</t>
  </si>
  <si>
    <t>08.05.2023</t>
  </si>
  <si>
    <t>HR46F-3373</t>
  </si>
  <si>
    <t>ok doc &amp;duty 17-05-23</t>
  </si>
  <si>
    <t>bank 14-05-23</t>
  </si>
  <si>
    <t>SIVIERO</t>
  </si>
  <si>
    <t>097DAPBL8000155,MBL</t>
  </si>
  <si>
    <t>BRAZIL</t>
  </si>
  <si>
    <t>19-05-23</t>
  </si>
  <si>
    <t>DP0262101074, PRABHU</t>
  </si>
  <si>
    <t>CAD MEGA</t>
  </si>
  <si>
    <t>22-05-23</t>
  </si>
  <si>
    <t>EB0011FOU03182</t>
  </si>
  <si>
    <t>SUGAM 524304315</t>
  </si>
  <si>
    <t>YEA-SACC 1026</t>
  </si>
  <si>
    <t>OPTIZEN II</t>
  </si>
  <si>
    <t>MEDULG338378</t>
  </si>
  <si>
    <t>090lcifs23-0015</t>
  </si>
  <si>
    <t>MEDULG336711</t>
  </si>
  <si>
    <t>ROBUST</t>
  </si>
  <si>
    <t>EB0011FOS03236</t>
  </si>
  <si>
    <t>MEDULG339251</t>
  </si>
  <si>
    <t>ONNE PORT, NIGERIA</t>
  </si>
  <si>
    <t>26-05-23</t>
  </si>
  <si>
    <t>MEDULG339244</t>
  </si>
  <si>
    <t>EB0011FOU03159</t>
  </si>
  <si>
    <t>NSTU650231SINCCUBRJ</t>
  </si>
  <si>
    <t>VITAMINS</t>
  </si>
  <si>
    <t>unload dryport</t>
  </si>
  <si>
    <t>HBLIUIC01790435</t>
  </si>
  <si>
    <t>UP17AT-3496, 3497</t>
  </si>
  <si>
    <t>19-05-23 bank, 
22-05-23, duty 26-05</t>
  </si>
  <si>
    <t>27-05-23</t>
  </si>
  <si>
    <t>001LCIIU23-0116</t>
  </si>
  <si>
    <t>308601594 pashupati</t>
  </si>
  <si>
    <t>POLYPROPLYENE COMPOUND</t>
  </si>
  <si>
    <t>22-05-23, DUTY 26-05</t>
  </si>
  <si>
    <t>001LCIIU23-0127</t>
  </si>
  <si>
    <t>21.05.2023</t>
  </si>
  <si>
    <t>OK, duty 30-05-23</t>
  </si>
  <si>
    <t>28-05-23, bank 26-05</t>
  </si>
  <si>
    <t>29 badjet</t>
  </si>
  <si>
    <t>EB0011FOS03244</t>
  </si>
  <si>
    <t>MEDULG339293</t>
  </si>
  <si>
    <t>TINCAN PORT, NIGERIA</t>
  </si>
  <si>
    <t>ok,IP OK</t>
  </si>
  <si>
    <t>29-05-23</t>
  </si>
  <si>
    <t>001LCIIU23-0126</t>
  </si>
  <si>
    <t>21.05-23</t>
  </si>
  <si>
    <t>712886341 OM</t>
  </si>
  <si>
    <t>ok 29-05, BANK 28-05-23</t>
  </si>
  <si>
    <t>duty 01-06-23</t>
  </si>
  <si>
    <t>MEDULG339285</t>
  </si>
  <si>
    <t>ILC903798001776</t>
  </si>
  <si>
    <t>BRISBANE, AUS</t>
  </si>
  <si>
    <t>001LCIFU23-0112</t>
  </si>
  <si>
    <t>BSLSINKEP2305217</t>
  </si>
  <si>
    <t>MARLEX HIGH DENSITY PP RESIN</t>
  </si>
  <si>
    <t>23-05-23 brj, bank 21-05,kol 25-05</t>
  </si>
  <si>
    <t>02-06 dryport strike</t>
  </si>
  <si>
    <t>pgc htd 04-06-23</t>
  </si>
  <si>
    <t>001LCIIU23-0114</t>
  </si>
  <si>
    <t>011-8573 IP ROADLINE</t>
  </si>
  <si>
    <t>MUMBAI, INDIA</t>
  </si>
  <si>
    <t>100 kg</t>
  </si>
  <si>
    <t>19-05bank, 22-05</t>
  </si>
  <si>
    <t>EB0011FOS03212</t>
  </si>
  <si>
    <t xml:space="preserve">AEL1526144    </t>
  </si>
  <si>
    <t>MTALX LTD</t>
  </si>
  <si>
    <t>EB0011FOS03165</t>
  </si>
  <si>
    <t>MEDULO174204</t>
  </si>
  <si>
    <t>090LCIIU23-0017</t>
  </si>
  <si>
    <t>425300072 SUGAM</t>
  </si>
  <si>
    <t>454037 VINAY CARGO</t>
  </si>
  <si>
    <t>BUTYHOLD
toxinfin</t>
  </si>
  <si>
    <t>5
5</t>
  </si>
  <si>
    <t>15-06-23</t>
  </si>
  <si>
    <t>18-06-23</t>
  </si>
  <si>
    <t>3(4)</t>
  </si>
  <si>
    <t>28-04-23
29-05-23</t>
  </si>
  <si>
    <t>5/5/2023
15-06-23</t>
  </si>
  <si>
    <t>ok, pending cont tclu2915268, 
mscu6648044,medu3753058</t>
  </si>
  <si>
    <t>ok, pend cont medu3960991,
msmu1038835, medu5026130</t>
  </si>
  <si>
    <t>3(6)</t>
  </si>
  <si>
    <t>30-04-23
25-05-23</t>
  </si>
  <si>
    <t>19-05-23
15-06-23</t>
  </si>
  <si>
    <t>26-04-23
28-06-23</t>
  </si>
  <si>
    <t>ok, IP ok, pendin medu3458670,
msdu2135920, tghu0700470</t>
  </si>
  <si>
    <t>pbt 6 cont
pbt 3 cont</t>
  </si>
  <si>
    <t>18-04-23
18-06-23</t>
  </si>
  <si>
    <t>TRANS GLOBE</t>
  </si>
  <si>
    <t>HBLIFX09790775</t>
  </si>
  <si>
    <t>MEDUAZ229884</t>
  </si>
  <si>
    <t>12/6/2023(5)
15-06-23 (1)
16-06-23(14)</t>
  </si>
  <si>
    <t>OK, 5+14+1</t>
  </si>
  <si>
    <t>15-06-23-5 co
18-06-23-5 co
19-06-23-10 c</t>
  </si>
  <si>
    <t>SONARGAN</t>
  </si>
  <si>
    <t>P02621S509990</t>
  </si>
  <si>
    <t>TR-SSCML/02(AB)/2023</t>
  </si>
  <si>
    <t>250 load in 12 trucks</t>
  </si>
  <si>
    <t>19-06-23</t>
  </si>
  <si>
    <t>001LCIIU23-0143</t>
  </si>
  <si>
    <t>CC AND MB</t>
  </si>
  <si>
    <t>ok 19-06-23</t>
  </si>
  <si>
    <t>BANK 16-06,19-06-23, duty 28-06-23</t>
  </si>
  <si>
    <t>798000SU0248</t>
  </si>
  <si>
    <t>MEDULG328304</t>
  </si>
  <si>
    <t>2(7 reach)</t>
  </si>
  <si>
    <t>7/4/2023
15-06-23</t>
  </si>
  <si>
    <t>28-06-23
28-06-23</t>
  </si>
  <si>
    <t>ok, IP ok, do ok, 7 cont reach,not reach msmu1636190, trlu8914801</t>
  </si>
  <si>
    <t>ILC903798002159</t>
  </si>
  <si>
    <t>TR-SSCML/03(AB)/2023</t>
  </si>
  <si>
    <t>125mt
125 mt</t>
  </si>
  <si>
    <t>20-06-23
21-06-23</t>
  </si>
  <si>
    <t>090LCIFS230015</t>
  </si>
  <si>
    <t>MEDULG340200</t>
  </si>
  <si>
    <t>31-05-23
15-06-23</t>
  </si>
  <si>
    <t>4/6/2023
28-06-23</t>
  </si>
  <si>
    <t>pbt6 cont
1 cont</t>
  </si>
  <si>
    <t>5/6/2023
21-06-23</t>
  </si>
  <si>
    <t>HBLIFX09791241</t>
  </si>
  <si>
    <t>OEA0194044</t>
  </si>
  <si>
    <t>CRUDE DEGUMMED SOYBEAN OIL</t>
  </si>
  <si>
    <t>pbt 7 cont
pbt 7 cont</t>
  </si>
  <si>
    <t>22-06-23
23-06-23</t>
  </si>
  <si>
    <t>AGRASOL</t>
  </si>
  <si>
    <t>ILC903798001991</t>
  </si>
  <si>
    <t>TGLMMRGNBRG0000223,www.tran-safe.com</t>
  </si>
  <si>
    <t>OK 07-06-23</t>
  </si>
  <si>
    <t>released but not reached godown due to sangh hold trucks</t>
  </si>
  <si>
    <t>25-06-23</t>
  </si>
  <si>
    <t>ILC903798001775</t>
  </si>
  <si>
    <t>hold at custom due to valuation</t>
  </si>
  <si>
    <t>truck nimbus</t>
  </si>
  <si>
    <t>ZIMUVAN951979</t>
  </si>
  <si>
    <t>TORONTO, CANADA</t>
  </si>
  <si>
    <t>14(4)</t>
  </si>
  <si>
    <t>20-06-23
28-06-23</t>
  </si>
  <si>
    <t>3/7/2023
12-07-23</t>
  </si>
  <si>
    <t>ok 4 cont-20-06-23
13 +1cont 28.6</t>
  </si>
  <si>
    <t>pbt 4 cont
pbt 3 cont
pbt 6 cont
mahabir 5 cont</t>
  </si>
  <si>
    <t>22-06-23
29-06-23
02-07-23
29-06-23</t>
  </si>
  <si>
    <t>7980002SU0363</t>
  </si>
  <si>
    <t>MEDULO187941</t>
  </si>
  <si>
    <t>090LCIFS23-0021</t>
  </si>
  <si>
    <t>XINGANG</t>
  </si>
  <si>
    <t>001LCIFU23-0131</t>
  </si>
  <si>
    <t>24.04.2023</t>
  </si>
  <si>
    <t>R05958852</t>
  </si>
  <si>
    <t>JUBAIL, SAUDI ARABIA</t>
  </si>
  <si>
    <t>HDPEB5403</t>
  </si>
  <si>
    <t>23-06-23</t>
  </si>
  <si>
    <t>ok 01-06-23, duty</t>
  </si>
  <si>
    <t>bank 21-05-23</t>
  </si>
  <si>
    <t>001LCIIU23-0145</t>
  </si>
  <si>
    <t>ok 20-06</t>
  </si>
  <si>
    <t>duty 19-06-23, bank 18-06-23
25-06-23 hold at custom due to valuation reason</t>
  </si>
  <si>
    <t>det 6 day</t>
  </si>
  <si>
    <t>HBLIUIC01790460</t>
  </si>
  <si>
    <t>22.05.2023</t>
  </si>
  <si>
    <t>16264 cj darcel</t>
  </si>
  <si>
    <t>27
27</t>
  </si>
  <si>
    <t>27-06-23
30-06-23</t>
  </si>
  <si>
    <t>ok 28-06-23, bank 27-06</t>
  </si>
  <si>
    <t>DUTY 28-06-23, 30-06</t>
  </si>
  <si>
    <t>30-06-23
02-07-23</t>
  </si>
  <si>
    <t xml:space="preserve">ROBUST INTERNATIONAL </t>
  </si>
  <si>
    <t>EB0011FOS03278</t>
  </si>
  <si>
    <t>MEDULG349193</t>
  </si>
  <si>
    <t>16-07-23</t>
  </si>
  <si>
    <t xml:space="preserve">pbt </t>
  </si>
  <si>
    <t>MEDULG349482</t>
  </si>
  <si>
    <t>ILC903798002248</t>
  </si>
  <si>
    <t>TR-SSCML/11(A)/2023
TR-SSCML/11(B)/2023</t>
  </si>
  <si>
    <t>SOYABEAN  MEAL</t>
  </si>
  <si>
    <t>125
125</t>
  </si>
  <si>
    <t>destination details given to prabhatji</t>
  </si>
  <si>
    <t>P02621U488090</t>
  </si>
  <si>
    <t>19.05.2023</t>
  </si>
  <si>
    <t>BSLSINBRG2306246</t>
  </si>
  <si>
    <t>P02621S481690</t>
  </si>
  <si>
    <t>MEDULG346751</t>
  </si>
  <si>
    <t>City seed Crushing Industries ltd</t>
  </si>
  <si>
    <t>ILC903798002217</t>
  </si>
  <si>
    <t>18.06.2023</t>
  </si>
  <si>
    <t>EXP-TR-23-77A
EXP-TR-23-77B</t>
  </si>
  <si>
    <t>126
126</t>
  </si>
  <si>
    <t>MEDULG351397</t>
  </si>
  <si>
    <t>17-06-23</t>
  </si>
  <si>
    <t>KAUSHIK PRINTING</t>
  </si>
  <si>
    <t>001LCIIU23-0158</t>
  </si>
  <si>
    <t>IP ROAD 0119132</t>
  </si>
  <si>
    <t>INK</t>
  </si>
  <si>
    <t>OK 09-07-23</t>
  </si>
  <si>
    <t>09-07-23, DUTY 11.07.23</t>
  </si>
  <si>
    <t>ILC903798002229</t>
  </si>
  <si>
    <t>EXP-TR-23-78A
EXP-TR-23-78B</t>
  </si>
  <si>
    <t>pbt 11 cont</t>
  </si>
  <si>
    <t>MEDUOD360022</t>
  </si>
  <si>
    <t>ADROIT SINGAPORE</t>
  </si>
  <si>
    <t>EB0011FOU03229</t>
  </si>
  <si>
    <t>MEDULO202245</t>
  </si>
  <si>
    <t>EB0011FOU03241</t>
  </si>
  <si>
    <t xml:space="preserve">BSLSINBRG2305220   </t>
  </si>
  <si>
    <t>P02621U462590</t>
  </si>
  <si>
    <t>BSLSINBRG2305219</t>
  </si>
  <si>
    <t>MEDULO204027</t>
  </si>
  <si>
    <t>001LCIIU23-0155</t>
  </si>
  <si>
    <t>23.06.2023</t>
  </si>
  <si>
    <t>IP ROAD 011-11038</t>
  </si>
  <si>
    <t>STYRENE MONMER</t>
  </si>
  <si>
    <t>ok 14-07-23</t>
  </si>
  <si>
    <t>001LCIIU23-0159</t>
  </si>
  <si>
    <t>OM 712499033</t>
  </si>
  <si>
    <t>ANKHELESHWAR</t>
  </si>
  <si>
    <t>PENTAERYTHRITOL</t>
  </si>
  <si>
    <t>OK 16-07-23</t>
  </si>
  <si>
    <t>NO UNLOAD ON 22-07 DUE TO SAT</t>
  </si>
  <si>
    <t>20 x 40</t>
  </si>
  <si>
    <t>18 x 40</t>
  </si>
  <si>
    <t>5 x 40</t>
  </si>
  <si>
    <t>09 X 40</t>
  </si>
  <si>
    <t>20 X 40</t>
  </si>
  <si>
    <t>TSNCB21009617, rcl</t>
  </si>
  <si>
    <t>5 X 20</t>
  </si>
  <si>
    <t>15 x 20</t>
  </si>
  <si>
    <t>23 X 20</t>
  </si>
  <si>
    <t>16 x 40</t>
  </si>
  <si>
    <t>1 CONT UPAHAR, 2 CONT AGROMIX,5 pbt,1 chainpur,2 itahari,5 dryport</t>
  </si>
  <si>
    <t>KMTCXGG2063256, KMTC</t>
  </si>
  <si>
    <t>KMTCXGG2062257, KMTC</t>
  </si>
  <si>
    <t>TSNCB21010408, RCL</t>
  </si>
  <si>
    <t>TSNCB21010407,rcl</t>
  </si>
  <si>
    <t>40 X 20</t>
  </si>
  <si>
    <t>18 X 40</t>
  </si>
  <si>
    <t>3 x 20</t>
  </si>
  <si>
    <t>4 X 40</t>
  </si>
  <si>
    <t>19 x 40</t>
  </si>
  <si>
    <t>17 x 40</t>
  </si>
  <si>
    <t>sugam 4253000029</t>
  </si>
  <si>
    <t>IP ROADLINE 011-51280</t>
  </si>
  <si>
    <t>pgc gank</t>
  </si>
  <si>
    <t>39 x 20</t>
  </si>
  <si>
    <t>308-601025 pashupati</t>
  </si>
  <si>
    <t>308601028 pashupati</t>
  </si>
  <si>
    <t>4 x 40</t>
  </si>
  <si>
    <t>ESLSINICD220232,expressway</t>
  </si>
  <si>
    <t>2 X 40</t>
  </si>
  <si>
    <t>EXP-CI-22-056-A,B,C,D</t>
  </si>
  <si>
    <t>10 x 20</t>
  </si>
  <si>
    <t>22 X 20</t>
  </si>
  <si>
    <t>DH202112130, ONE</t>
  </si>
  <si>
    <t>7 X 40</t>
  </si>
  <si>
    <t>509786690 TCI FRGHT</t>
  </si>
  <si>
    <t>30 X 20</t>
  </si>
  <si>
    <t>08.10.2021</t>
  </si>
  <si>
    <t>25.01.2022</t>
  </si>
  <si>
    <t>2 x 40</t>
  </si>
  <si>
    <t>21.12.2021</t>
  </si>
  <si>
    <t>14.01.2022</t>
  </si>
  <si>
    <t>09.01.2022</t>
  </si>
  <si>
    <t>30.01.2022</t>
  </si>
  <si>
    <t>06.01.2022</t>
  </si>
  <si>
    <t>02.04.2022</t>
  </si>
  <si>
    <t>04.02.2022</t>
  </si>
  <si>
    <t>21.01.2022</t>
  </si>
  <si>
    <t>05.01.2022</t>
  </si>
  <si>
    <t>10 X 20</t>
  </si>
  <si>
    <t>EXP-TR-22-057-A,B,C,D</t>
  </si>
  <si>
    <t>308-601068, pashupati</t>
  </si>
  <si>
    <t>12.01.2022</t>
  </si>
  <si>
    <t>27-02-22</t>
  </si>
  <si>
    <t>11.01.2022</t>
  </si>
  <si>
    <t>25.02.2022</t>
  </si>
  <si>
    <t>upahar factory 19-04-22</t>
  </si>
  <si>
    <t>127C500597,wanhai</t>
  </si>
  <si>
    <t>07.01.2022</t>
  </si>
  <si>
    <t>20.02.2022</t>
  </si>
  <si>
    <t>15.11.2021</t>
  </si>
  <si>
    <t>22.12.2021</t>
  </si>
  <si>
    <t>14.03.2022</t>
  </si>
  <si>
    <t>4 sidd, 1 asian, 2 skylark, 2 sidd, 2 skylark, 4upahar</t>
  </si>
  <si>
    <t>18-04-22</t>
  </si>
  <si>
    <t>17.01.2022</t>
  </si>
  <si>
    <t>06.03.2022</t>
  </si>
  <si>
    <t>05.02.2022</t>
  </si>
  <si>
    <t>13.03.2022</t>
  </si>
  <si>
    <t>26.01.2022</t>
  </si>
  <si>
    <t>29.11.2021</t>
  </si>
  <si>
    <t>09.02.2022</t>
  </si>
  <si>
    <t>09.03.2022</t>
  </si>
  <si>
    <t>07.02.2022</t>
  </si>
  <si>
    <t xml:space="preserve">Norfolk, US </t>
  </si>
  <si>
    <t>Toronto, canada</t>
  </si>
  <si>
    <t>Baltimore, US</t>
  </si>
  <si>
    <t>24-01-22</t>
  </si>
  <si>
    <t>24-02-22</t>
  </si>
  <si>
    <t>10 pbt 06-05 upahar</t>
  </si>
  <si>
    <t>21-11-21</t>
  </si>
  <si>
    <t>18-02-22</t>
  </si>
  <si>
    <t>10 cont dryport unload 08-05 pbtwest 8 trucks, agromix 4 trucks</t>
  </si>
  <si>
    <t>21.02.2022</t>
  </si>
  <si>
    <t>14.02.2022</t>
  </si>
  <si>
    <t>Baltimore, USA</t>
  </si>
  <si>
    <t>Data not found</t>
  </si>
  <si>
    <t>Jeddah, Saudi Arabia</t>
  </si>
  <si>
    <t>22.02.2022</t>
  </si>
  <si>
    <t>UPAHAR</t>
  </si>
  <si>
    <t>XINGNAG CHINA</t>
  </si>
  <si>
    <t>pb</t>
  </si>
  <si>
    <t>21.03.2022</t>
  </si>
  <si>
    <t>29-03-22</t>
  </si>
  <si>
    <t>Antwerpen, belgium</t>
  </si>
  <si>
    <t xml:space="preserve">Xingang, China </t>
  </si>
  <si>
    <t>18.02.2022</t>
  </si>
  <si>
    <t>RIGA, Latvia</t>
  </si>
  <si>
    <t>14-03-22</t>
  </si>
  <si>
    <t>07.04.2022</t>
  </si>
  <si>
    <t>5981,5495 bhawani</t>
  </si>
  <si>
    <t>16-03-22</t>
  </si>
  <si>
    <t>PASHUPATI209601629</t>
  </si>
  <si>
    <t>SUGAM 425300041</t>
  </si>
  <si>
    <t>MYSORE, INDIA</t>
  </si>
  <si>
    <t>22-11-21</t>
  </si>
  <si>
    <t>17-02-22</t>
  </si>
  <si>
    <t>19-03-22</t>
  </si>
  <si>
    <t>16-01-22</t>
  </si>
  <si>
    <t>20-03-22</t>
  </si>
  <si>
    <t>27.01.2022</t>
  </si>
  <si>
    <t>28-02-22</t>
  </si>
  <si>
    <t>NORFOLK, US</t>
  </si>
  <si>
    <t>22-03-22</t>
  </si>
  <si>
    <t>VINAY CARGO 443534</t>
  </si>
  <si>
    <t>BHIWANDI,INDIA</t>
  </si>
  <si>
    <t>524304117 SUGAM</t>
  </si>
  <si>
    <t>Quindao, China</t>
  </si>
  <si>
    <t>1605 SAVITA</t>
  </si>
  <si>
    <t>KOL</t>
  </si>
  <si>
    <t>31-01-22</t>
  </si>
  <si>
    <t>26-03-22</t>
  </si>
  <si>
    <t>26-03022</t>
  </si>
  <si>
    <t>100CA01736wanhai</t>
  </si>
  <si>
    <t> Shuwaikh, Kuwait</t>
  </si>
  <si>
    <t>13.12.20211</t>
  </si>
  <si>
    <t>Newark, canada</t>
  </si>
  <si>
    <t>16.03.22</t>
  </si>
  <si>
    <t>ADELAIDE, AUS</t>
  </si>
  <si>
    <t>11571 mogakarna</t>
  </si>
  <si>
    <t>27-03-22</t>
  </si>
  <si>
    <t>25-03-22</t>
  </si>
  <si>
    <t>ANTWERP, Belgium</t>
  </si>
  <si>
    <t>BALTIMORE, US</t>
  </si>
  <si>
    <t>jubail port, saudi</t>
  </si>
  <si>
    <t>23-03-22</t>
  </si>
  <si>
    <t>13.06.2022</t>
  </si>
  <si>
    <t>10.06.2022</t>
  </si>
  <si>
    <t>18.05.2022</t>
  </si>
  <si>
    <t>Panipat, India</t>
  </si>
  <si>
    <t>pgc 29-06-22</t>
  </si>
  <si>
    <t>31-03-22</t>
  </si>
  <si>
    <t>DOC OK, IP OK, do ok</t>
  </si>
  <si>
    <t>5 lumbinin 24-06, 5 lumbini 25-06,4s&amp;s28-06, 3chainpur 30-06</t>
  </si>
  <si>
    <t>15-06-22</t>
  </si>
  <si>
    <t>pbt 30-06-22</t>
  </si>
  <si>
    <t>OK, ip 14-6, 24 container reach</t>
  </si>
  <si>
    <t>10 pbt 30-06-22, 13 PBT 01-07-22, 1 CONT 02-07-22 PBT</t>
  </si>
  <si>
    <t>JUBAIL,SAUDI ARAB</t>
  </si>
  <si>
    <t>txbt14</t>
  </si>
  <si>
    <t>T86H</t>
  </si>
  <si>
    <t>28-06-22</t>
  </si>
  <si>
    <t>30-06-22 at 3 pm</t>
  </si>
  <si>
    <t>9 CHAINPUR 01-07-22, 8 chainpur 02-07-22</t>
  </si>
  <si>
    <t>unload:02-07=4 cont, 03-07=6 cont</t>
  </si>
  <si>
    <t>OK, ip OK</t>
  </si>
  <si>
    <t>PBT 03-07-22</t>
  </si>
  <si>
    <t>KLANG PORT</t>
  </si>
  <si>
    <t>OK, do ok, duty ok</t>
  </si>
  <si>
    <t>03-07-22 chainpur</t>
  </si>
  <si>
    <t>03-07-022 UNLOADED AT DRYPORT AND SENT TO PBTWEST</t>
  </si>
  <si>
    <t>pbt 04-07-22</t>
  </si>
  <si>
    <t>INDORE, INDIA</t>
  </si>
  <si>
    <t>pbt 01-07-22</t>
  </si>
  <si>
    <t>27-05-22</t>
  </si>
  <si>
    <t>05-07-22 chainpur</t>
  </si>
  <si>
    <t>ISKANDERUN,TURKEY</t>
  </si>
  <si>
    <t>01--07-22</t>
  </si>
  <si>
    <t>Pbt 06-07-22</t>
  </si>
  <si>
    <t>11.07-22 PBT</t>
  </si>
  <si>
    <t xml:space="preserve">SHIVAM, </t>
  </si>
  <si>
    <t>VAPI, INDIA</t>
  </si>
  <si>
    <t>pgc htd 14-07-22</t>
  </si>
  <si>
    <t>16-07-22</t>
  </si>
  <si>
    <t>pbt vijay</t>
  </si>
  <si>
    <t>nicpl vijay</t>
  </si>
  <si>
    <t>nicpl 6 cont
nicpl 5 cont</t>
  </si>
  <si>
    <t>23.07.25
26.07.25</t>
  </si>
  <si>
    <t>25.07.25</t>
  </si>
  <si>
    <t>02621P43238182</t>
  </si>
  <si>
    <t>2780/mt</t>
  </si>
  <si>
    <t>HBLIFX09811829</t>
  </si>
  <si>
    <t>HBLIFX09811821</t>
  </si>
  <si>
    <t>TATA CHEMICALS LIMITED</t>
  </si>
  <si>
    <t>FANGICAP N
OXICAP E2</t>
  </si>
  <si>
    <t>19
1</t>
  </si>
  <si>
    <t>1440/MT
1300/MT</t>
  </si>
  <si>
    <t>2780/MT</t>
  </si>
  <si>
    <t>01143951 IP ROADLINE</t>
  </si>
  <si>
    <t>27.07.25</t>
  </si>
  <si>
    <t>28.07.25</t>
  </si>
  <si>
    <t>23000/MT INR</t>
  </si>
  <si>
    <t>24.06.25</t>
  </si>
  <si>
    <t>24.07.25</t>
  </si>
  <si>
    <t>10.08.25</t>
  </si>
  <si>
    <t>13.08.25</t>
  </si>
  <si>
    <t>30.08.25</t>
  </si>
  <si>
    <t>DAP MBL</t>
  </si>
  <si>
    <t>ok, vijay</t>
  </si>
  <si>
    <t>29.07.25</t>
  </si>
  <si>
    <t>BSLSINBRG2507252</t>
  </si>
  <si>
    <t>05.08.25</t>
  </si>
  <si>
    <t>bslsinbrg2507256</t>
  </si>
  <si>
    <t>BROWN EYE BEAN, BAGS</t>
  </si>
  <si>
    <t>808/MT</t>
  </si>
  <si>
    <t>10.10.25</t>
  </si>
  <si>
    <t>AUPIA AGRI BUSINESS LLC</t>
  </si>
  <si>
    <t>MEDUOI133721</t>
  </si>
  <si>
    <t>05.09.25</t>
  </si>
  <si>
    <t>BARCELONA,SPAIN</t>
  </si>
  <si>
    <t>04.08.25</t>
  </si>
  <si>
    <t>COAU7260236080,cosco
OOCU7306170 cont no</t>
  </si>
  <si>
    <t>16.07.25</t>
  </si>
  <si>
    <t>sanjay century</t>
  </si>
  <si>
    <t>ok vijay</t>
  </si>
  <si>
    <t>06.08.25</t>
  </si>
  <si>
    <t>19.08.25</t>
  </si>
  <si>
    <t>11.08.25</t>
  </si>
  <si>
    <t>24.08.25</t>
  </si>
  <si>
    <t>SGF IND PVT LTD</t>
  </si>
  <si>
    <t>02611P01818283</t>
  </si>
  <si>
    <t>30.07.25</t>
  </si>
  <si>
    <t>SGFIPL-25-26/101</t>
  </si>
  <si>
    <t>NL01AF2934, SHAKTI LOG TANKER</t>
  </si>
  <si>
    <t>SOYABEAN OIL DISTILLED 
FATTY ACID</t>
  </si>
  <si>
    <t>14.08.25</t>
  </si>
  <si>
    <t>18.08.25</t>
  </si>
  <si>
    <t>3 FG INTERNATIONAL TRADING LLC</t>
  </si>
  <si>
    <t>3 FG 2507 25</t>
  </si>
  <si>
    <t>17.08.25</t>
  </si>
  <si>
    <t>675/MT</t>
  </si>
  <si>
    <t>ISDF0A125USD2111</t>
  </si>
  <si>
    <t>23.07.25</t>
  </si>
  <si>
    <t>MT04433/A</t>
  </si>
  <si>
    <t>663/MT</t>
  </si>
  <si>
    <t>19.08.025</t>
  </si>
  <si>
    <t>22.08.25</t>
  </si>
  <si>
    <t>12.09.25</t>
  </si>
  <si>
    <t>20.08.25</t>
  </si>
  <si>
    <t>D002SU0051</t>
  </si>
  <si>
    <t>14.09.25</t>
  </si>
  <si>
    <t>28.09.25</t>
  </si>
  <si>
    <t>D002SU0018</t>
  </si>
  <si>
    <t>255615365</t>
  </si>
  <si>
    <t>258925133</t>
  </si>
  <si>
    <t>D002SU0033</t>
  </si>
  <si>
    <t>256089136</t>
  </si>
  <si>
    <t>KEMIN INDUSTRIES SOUTH ASIA PVT LIMITED</t>
  </si>
  <si>
    <t xml:space="preserve">PALASURANCE D70-250 LIQUID ( AIR SHIPMENT) </t>
  </si>
  <si>
    <t>PI-195</t>
  </si>
  <si>
    <t>CIP KATHMANDU</t>
  </si>
  <si>
    <t>HBLIUTT09820014</t>
  </si>
  <si>
    <t>ROSSARI BIOTECH LIMITED</t>
  </si>
  <si>
    <t>GLUCAXYL</t>
  </si>
  <si>
    <t>RB/PRO/25-26/02</t>
  </si>
  <si>
    <t>D002UI0070</t>
  </si>
  <si>
    <t>CURAMAX GOLD</t>
  </si>
  <si>
    <t>AF/01/2025-26</t>
  </si>
  <si>
    <t>90 DAYS CREDIT</t>
  </si>
  <si>
    <t>655/MT</t>
  </si>
  <si>
    <t>523/MT</t>
  </si>
  <si>
    <t>6700/MT</t>
  </si>
  <si>
    <t>INR275000</t>
  </si>
  <si>
    <t>INR160000</t>
  </si>
  <si>
    <t>INR315000</t>
  </si>
  <si>
    <t>INR135000</t>
  </si>
  <si>
    <t>RAPESEEDS</t>
  </si>
  <si>
    <t>Chornomorsk</t>
  </si>
  <si>
    <t>07.08.25</t>
  </si>
  <si>
    <t>ITALY</t>
  </si>
  <si>
    <t>AWB235-62439296</t>
  </si>
  <si>
    <t>26.08.25</t>
  </si>
  <si>
    <t>07.09.25</t>
  </si>
  <si>
    <t>mata 7400019378</t>
  </si>
  <si>
    <t>VINAY 449993</t>
  </si>
  <si>
    <t>BUHLER ( INDIA) PVT LTD</t>
  </si>
  <si>
    <t>24-035</t>
  </si>
  <si>
    <t>22524LS02582</t>
  </si>
  <si>
    <t>435 300257</t>
  </si>
  <si>
    <t>MACHINERY</t>
  </si>
  <si>
    <t>RONITH SEEDZ PVT. LTD.</t>
  </si>
  <si>
    <t>02611P06698283</t>
  </si>
  <si>
    <t>31.08.25</t>
  </si>
  <si>
    <t>RSPL/2025-26/101</t>
  </si>
  <si>
    <t>57, 01.09.25</t>
  </si>
  <si>
    <t>01.09.25</t>
  </si>
  <si>
    <t>PEAS- NEW LINE</t>
  </si>
  <si>
    <t>97/KG</t>
  </si>
  <si>
    <t>08.09.25</t>
  </si>
  <si>
    <t>28.08.25</t>
  </si>
  <si>
    <t>13.09.25</t>
  </si>
  <si>
    <t>06.09.25</t>
  </si>
  <si>
    <t>31.09.25</t>
  </si>
  <si>
    <t>20.11.25</t>
  </si>
  <si>
    <t>KEMIN IND. SOUTH ASIA PVT LTD.</t>
  </si>
  <si>
    <t>D002UI0180</t>
  </si>
  <si>
    <t>02.09.25</t>
  </si>
  <si>
    <t>SUGAM 403301849</t>
  </si>
  <si>
    <t>04.09.25</t>
  </si>
  <si>
    <t>TOXFIN DRY</t>
  </si>
  <si>
    <t>45/KG</t>
  </si>
  <si>
    <t>BSLSINBRG2509325</t>
  </si>
  <si>
    <t>SSZ1659368, cma</t>
  </si>
  <si>
    <t>15.09.25</t>
  </si>
  <si>
    <t>PGC GDK 2 cont
pgc gdk 2 cont</t>
  </si>
  <si>
    <t>12.09.25
13.09.25</t>
  </si>
  <si>
    <t>16.09.25</t>
  </si>
  <si>
    <t>17.09.25</t>
  </si>
  <si>
    <t>20.09.25</t>
  </si>
  <si>
    <t>21.09.25</t>
  </si>
  <si>
    <t xml:space="preserve">Rohit 7 cnt, balaji 7 </t>
  </si>
  <si>
    <t>18.09.25</t>
  </si>
  <si>
    <t>05.10.25</t>
  </si>
  <si>
    <t>097ILCU83USD001,nnpl</t>
  </si>
  <si>
    <t>22.09.25</t>
  </si>
  <si>
    <t>097ILCS83USD0178, NNPL</t>
  </si>
  <si>
    <t>MT04516</t>
  </si>
  <si>
    <t>698/MT</t>
  </si>
  <si>
    <t>19.10.25</t>
  </si>
  <si>
    <t>17.10.25</t>
  </si>
  <si>
    <t>Dugad full</t>
  </si>
  <si>
    <t>12.10.25</t>
  </si>
  <si>
    <t>665/mt</t>
  </si>
  <si>
    <t>07.10.25</t>
  </si>
  <si>
    <t>29.09.25</t>
  </si>
  <si>
    <t>30.10.25</t>
  </si>
  <si>
    <t>FLETCHER INTERNATIONAL EXPORTS PTY LTD</t>
  </si>
  <si>
    <t>090LCIFS25-0017</t>
  </si>
  <si>
    <t>C0236838</t>
  </si>
  <si>
    <t>MEDUGR793258</t>
  </si>
  <si>
    <t>705.5/MT</t>
  </si>
  <si>
    <t>ND CHEMICAL CO.LTD.</t>
  </si>
  <si>
    <t>LYSINE HCL (MEIUA BRD)</t>
  </si>
  <si>
    <t>1036/MT</t>
  </si>
  <si>
    <t>THREONINE</t>
  </si>
  <si>
    <t>1266/MT</t>
  </si>
  <si>
    <t>NDLDD2025-22</t>
  </si>
  <si>
    <t>ONEYODSF00368300</t>
  </si>
  <si>
    <t>LAMONTE INTERNATIONAL DMCC</t>
  </si>
  <si>
    <t>MALDOVA</t>
  </si>
  <si>
    <t>PI-LI-25-UKR-622 dated 14.08.2025</t>
  </si>
  <si>
    <t>660/MT</t>
  </si>
  <si>
    <t>006IMFLC251851</t>
  </si>
  <si>
    <t>03.10.25</t>
  </si>
  <si>
    <t>RAPESEED , bulk</t>
  </si>
  <si>
    <t>07.11.25</t>
  </si>
  <si>
    <t>026611P10198283</t>
  </si>
  <si>
    <t>25.09.25</t>
  </si>
  <si>
    <t>E119/EXP/PI/2025</t>
  </si>
  <si>
    <t>001LCIFU250289</t>
  </si>
  <si>
    <t>24.09.25</t>
  </si>
  <si>
    <t>619, BHAWANI</t>
  </si>
  <si>
    <t>08.10.25</t>
  </si>
  <si>
    <t>PANIPAT, INDIA</t>
  </si>
  <si>
    <t>3120MAPP ICP IM</t>
  </si>
  <si>
    <t>1050/MT</t>
  </si>
  <si>
    <t>13.10.25</t>
  </si>
  <si>
    <t>524304884, SUGAM</t>
  </si>
  <si>
    <t>30.09.25</t>
  </si>
  <si>
    <t>BIOPLEX HIGH 7, YEA-SACC</t>
  </si>
  <si>
    <t>KANORIA CHEMICALS &amp; IND LTD</t>
  </si>
  <si>
    <t>02611P07338283</t>
  </si>
  <si>
    <t>PROFORMA/25-26/36</t>
  </si>
  <si>
    <t>FLY151520588</t>
  </si>
  <si>
    <t>09.10.25</t>
  </si>
  <si>
    <t>D002UI0238</t>
  </si>
  <si>
    <t>41710001474, SUGAM</t>
  </si>
  <si>
    <t>PI 25-26EX041</t>
  </si>
  <si>
    <t>SITDLNP539G982</t>
  </si>
  <si>
    <t>26.10.25</t>
  </si>
  <si>
    <t>10.11.25</t>
  </si>
  <si>
    <t>SITDLNP539G980</t>
  </si>
  <si>
    <t>DAP NICPL PRABHU</t>
  </si>
  <si>
    <t>DAP EBL</t>
  </si>
  <si>
    <t>MT04882</t>
  </si>
  <si>
    <t>WHOLE CHICKPEAS KYABRA TYPES</t>
  </si>
  <si>
    <t>600/MT</t>
  </si>
  <si>
    <t>AGT FOODS AUSTRALIA</t>
  </si>
  <si>
    <t>SAU0010269</t>
  </si>
  <si>
    <t>MEDUGR786419</t>
  </si>
  <si>
    <t>WHOLE DESI CHICK PEAS</t>
  </si>
  <si>
    <t>575/MT</t>
  </si>
  <si>
    <t>14.10.25</t>
  </si>
  <si>
    <t>02621P11238283</t>
  </si>
  <si>
    <t>urmpl/70566/2025-26</t>
  </si>
  <si>
    <t>MEDUH9097484</t>
  </si>
  <si>
    <t>11.10.25</t>
  </si>
  <si>
    <t>26.09.25</t>
  </si>
  <si>
    <t>16.10.25</t>
  </si>
  <si>
    <t>OK, 14.10.25</t>
  </si>
  <si>
    <t>25.10.25</t>
  </si>
  <si>
    <t>I.G. PETROCHEMICALS LIMITED</t>
  </si>
  <si>
    <t>02611P09508283</t>
  </si>
  <si>
    <t>BEXPSO/2526/00049</t>
  </si>
  <si>
    <t>GJ6AY2213,UP51AT6481</t>
  </si>
  <si>
    <t>84576/MT</t>
  </si>
  <si>
    <t>30.11.25</t>
  </si>
  <si>
    <t>05.11.25</t>
  </si>
  <si>
    <t>13.11.25</t>
  </si>
  <si>
    <t>162LCIM-1157/25</t>
  </si>
  <si>
    <t>PFL/NIC/SBM/CFR/01/2526</t>
  </si>
  <si>
    <t>HIPRO SOYBEAN MEAL</t>
  </si>
  <si>
    <t>INR37650/MT</t>
  </si>
  <si>
    <t>27.10.25</t>
  </si>
  <si>
    <t>OK, 17.10.25</t>
  </si>
  <si>
    <t>006IMFLC251934</t>
  </si>
  <si>
    <t>6999132311 dated 10.09.2025</t>
  </si>
  <si>
    <t>UK04CB3067</t>
  </si>
  <si>
    <t>24.10.25</t>
  </si>
  <si>
    <t>190/KG INR</t>
  </si>
  <si>
    <t>31.10.25</t>
  </si>
  <si>
    <t>812/MT</t>
  </si>
  <si>
    <t>ELG/RGN/CCU-2443/25
, ELAN</t>
  </si>
  <si>
    <t>03.11.25</t>
  </si>
  <si>
    <t>02.11.25</t>
  </si>
  <si>
    <t>24.11.25</t>
  </si>
  <si>
    <t>04.12.25</t>
  </si>
  <si>
    <t>04.11.25</t>
  </si>
  <si>
    <t>17.11.25</t>
  </si>
  <si>
    <t>006imflc252070</t>
  </si>
  <si>
    <t>28.10.25</t>
  </si>
  <si>
    <t>ok, 05.11.25</t>
  </si>
  <si>
    <t>15.11.25</t>
  </si>
  <si>
    <t>DOCUMENT 
POSITION</t>
  </si>
  <si>
    <t>FREE
 TIME</t>
  </si>
  <si>
    <t>IP NO, EXP DT</t>
  </si>
  <si>
    <t>IP NO
EXP DT</t>
  </si>
  <si>
    <t>A25197276
12.01.25</t>
  </si>
  <si>
    <t>06.11.25</t>
  </si>
  <si>
    <t>006IMFLC252066</t>
  </si>
  <si>
    <t>M7964</t>
  </si>
  <si>
    <t>676/MT</t>
  </si>
  <si>
    <t>ISDF0A125USD3133</t>
  </si>
  <si>
    <t>MT04926</t>
  </si>
  <si>
    <t>591/MT</t>
  </si>
  <si>
    <t>A25155560
09.02.26</t>
  </si>
  <si>
    <t>dugad full, factory go</t>
  </si>
  <si>
    <t>tej karan all</t>
  </si>
  <si>
    <t>JCPL/EXP/2526/55</t>
  </si>
  <si>
    <t>JC/EXP/2526/085</t>
  </si>
  <si>
    <t>09.11.25</t>
  </si>
  <si>
    <t>15 DAY CREDIT</t>
  </si>
  <si>
    <t>14.11.25</t>
  </si>
  <si>
    <t>pbt 10 con
pbt 5 con
pbt 5 con</t>
  </si>
  <si>
    <t>09.11.25
10.11.25
11.11.25</t>
  </si>
  <si>
    <t>11.11.25</t>
  </si>
  <si>
    <t>A25174554,DT.06.12.25</t>
  </si>
  <si>
    <t>A25133424
09.10.25,A25212222,05.02.25</t>
  </si>
  <si>
    <t>006IMFLC252147</t>
  </si>
  <si>
    <t>DSL PACIFIC PTY LTD</t>
  </si>
  <si>
    <t>SO14157</t>
  </si>
  <si>
    <t>MEL500701300</t>
  </si>
  <si>
    <t>680/MT</t>
  </si>
  <si>
    <t>MEL500735100</t>
  </si>
  <si>
    <t>10.12.25</t>
  </si>
  <si>
    <t>02621P13678283</t>
  </si>
  <si>
    <t>A8075</t>
  </si>
  <si>
    <t>12.11.25</t>
  </si>
  <si>
    <t>16.11.25</t>
  </si>
  <si>
    <t>03.12.25</t>
  </si>
  <si>
    <t>12.12.25</t>
  </si>
  <si>
    <t>23.11.25</t>
  </si>
  <si>
    <t>18.11.25</t>
  </si>
  <si>
    <t xml:space="preserve">ISDF0A125USD3187,
 </t>
  </si>
  <si>
    <t>AVITECH NUTRITION P LTD.</t>
  </si>
  <si>
    <t>D002UI0350</t>
  </si>
  <si>
    <t>29.10.25</t>
  </si>
  <si>
    <t>AVI/INT/56</t>
  </si>
  <si>
    <t>70195017, NECC</t>
  </si>
  <si>
    <t>SAPODO,TRISORB,PERFORMINS,
LIPIDIN</t>
  </si>
  <si>
    <t>D002UI0372</t>
  </si>
  <si>
    <t>RB/PRO/25-26/03</t>
  </si>
  <si>
    <t>7400019101, MATA</t>
  </si>
  <si>
    <t>GLUCAXL, MAXI</t>
  </si>
  <si>
    <t>all Tej karan,payment pending tejkaran</t>
  </si>
  <si>
    <t>HBLIFX09820263</t>
  </si>
  <si>
    <t>15.08.25</t>
  </si>
  <si>
    <t>SIN538103BGJ</t>
  </si>
  <si>
    <t>U 75027.5</t>
  </si>
  <si>
    <t>26.11.25</t>
  </si>
  <si>
    <t>pbt, 20.11.25</t>
  </si>
  <si>
    <t>ILC903828300846</t>
  </si>
  <si>
    <t>MT04861</t>
  </si>
  <si>
    <t>08.12.25</t>
  </si>
  <si>
    <t>SUDIMA INT PTE LTD</t>
  </si>
  <si>
    <t>ISDF0A125USD3191</t>
  </si>
  <si>
    <t>SC/AG2526/0058</t>
  </si>
  <si>
    <t>BLACK MATPE (FAQ)</t>
  </si>
  <si>
    <t>pgcgdk</t>
  </si>
  <si>
    <t>28.11.25</t>
  </si>
  <si>
    <t>27.11.25</t>
  </si>
  <si>
    <t>25.11.25</t>
  </si>
  <si>
    <t>09.12.25</t>
  </si>
  <si>
    <t>THE DELONG CO., INC</t>
  </si>
  <si>
    <t>006IMFLC252065</t>
  </si>
  <si>
    <t>21.11.25</t>
  </si>
  <si>
    <t>NEWARK, USA</t>
  </si>
  <si>
    <t>US GRADE NO 2 OR BETTER</t>
  </si>
  <si>
    <t>525/MT</t>
  </si>
  <si>
    <t>25.01.26</t>
  </si>
  <si>
    <t xml:space="preserve">pbt, </t>
  </si>
  <si>
    <t>ok28.11.25</t>
  </si>
  <si>
    <t>awadh 3 cont
mukesh 2 cont
awadh 2 cont
mukesh 3 cont
awadh 2 cont
pgc gdk 2 cont</t>
  </si>
  <si>
    <t>26.11.25
26.11.25
27.11.25
27.11.25
28.11.25
28.11.25</t>
  </si>
  <si>
    <t>ALLTECH BIOTECHNOLOGY PVT LTD</t>
  </si>
  <si>
    <t>D002UI0444</t>
  </si>
  <si>
    <t>E147/EXP/PI/2025</t>
  </si>
  <si>
    <t>524304917, SUGAM</t>
  </si>
  <si>
    <t>02.12.25</t>
  </si>
  <si>
    <t>Shreeshyam Oleo Chemicals Pvt. Ltd.</t>
  </si>
  <si>
    <t>PFI/EXP/19/25-26</t>
  </si>
  <si>
    <t>02611P15848283</t>
  </si>
  <si>
    <t>05.12.25</t>
  </si>
  <si>
    <t>06.12.25</t>
  </si>
  <si>
    <t>TEJ KARAN</t>
  </si>
  <si>
    <t>02621P15198283</t>
  </si>
  <si>
    <t xml:space="preserve">02621P14048283      </t>
  </si>
  <si>
    <t>MT04603</t>
  </si>
  <si>
    <t>SAU0010121</t>
  </si>
  <si>
    <t>15.12.25</t>
  </si>
  <si>
    <t>A25207918, 
31.01.26</t>
  </si>
  <si>
    <t>AEL1972157A</t>
  </si>
  <si>
    <t>01.12.25</t>
  </si>
  <si>
    <t>OK, 01.12.25</t>
  </si>
  <si>
    <t>Tejkaran 2 cont
Tejkaran 3 cont near amrit</t>
  </si>
  <si>
    <t>01.12.25
03.12.25</t>
  </si>
  <si>
    <t>SSLRGCCUCAA0426, 
samudera</t>
  </si>
  <si>
    <t>BLACK MATPE FAQ 2025 CROP</t>
  </si>
  <si>
    <t>SSLRGCCUCAA0425
Samudera</t>
  </si>
  <si>
    <t>16.12.25</t>
  </si>
  <si>
    <t>MEDUGR797804</t>
  </si>
  <si>
    <t>17.12.25</t>
  </si>
  <si>
    <t>ok, 05.12.25</t>
  </si>
  <si>
    <t>20.12.25</t>
  </si>
  <si>
    <t>07.12.25</t>
  </si>
  <si>
    <t>MT04986/A</t>
  </si>
  <si>
    <t>ISDF0A125USD3235</t>
  </si>
  <si>
    <t>28.12.25</t>
  </si>
  <si>
    <t>11.01.26</t>
  </si>
  <si>
    <t>125 nicpl, dugad 125</t>
  </si>
  <si>
    <t>IUDF0A125USD4612</t>
  </si>
  <si>
    <t>BSLSINBRG2512390</t>
  </si>
  <si>
    <t>05.01.26</t>
  </si>
  <si>
    <t>02621P15428283</t>
  </si>
  <si>
    <t>ok, 10.12.25</t>
  </si>
  <si>
    <t>YGNCB25005106, rcl</t>
  </si>
  <si>
    <t>A25214158
09.02.26</t>
  </si>
  <si>
    <t>A25197299
12.01.26</t>
  </si>
  <si>
    <t>A25213007
06.02.26</t>
  </si>
  <si>
    <t>A25194773
09.01.26</t>
  </si>
  <si>
    <t>A25198142
13.01.26</t>
  </si>
  <si>
    <t>A25227226
24.02.26</t>
  </si>
  <si>
    <t>A25227228
24.02.26</t>
  </si>
  <si>
    <t>006IMFLC252289</t>
  </si>
  <si>
    <t>MT04946</t>
  </si>
  <si>
    <t>29.11.25</t>
  </si>
  <si>
    <t>15.01.26</t>
  </si>
  <si>
    <t>10.02.26</t>
  </si>
  <si>
    <t>BSLSINBRG2512389,blue sky</t>
  </si>
  <si>
    <t>duggad</t>
  </si>
  <si>
    <t>EB0011FOS04636</t>
  </si>
  <si>
    <t>EB0011FOS04635</t>
  </si>
  <si>
    <t>14.12.25</t>
  </si>
  <si>
    <t>A25173470
04.12.26
A25241053
14.03.25</t>
  </si>
  <si>
    <t>A25181118,
16.03.25</t>
  </si>
  <si>
    <t>A25241070
14.03.26</t>
  </si>
  <si>
    <t>1.12.25</t>
  </si>
  <si>
    <t>PERDUE AGRI BUSINESS LLC</t>
  </si>
  <si>
    <t>ISDF0A125USD3129</t>
  </si>
  <si>
    <t>US YELLOW SOYBEAN</t>
  </si>
  <si>
    <t>21.01.26</t>
  </si>
  <si>
    <t>21.12.25</t>
  </si>
  <si>
    <t>23.12.25</t>
  </si>
  <si>
    <t>OK,17.12.25</t>
  </si>
  <si>
    <t>NDLDD2025-25</t>
  </si>
  <si>
    <t>04.01.26</t>
  </si>
  <si>
    <t>A25239938
14.03.26</t>
  </si>
  <si>
    <t>A25243058
17.03.25</t>
  </si>
  <si>
    <t>19.12.25</t>
  </si>
  <si>
    <t>31.12.25</t>
  </si>
  <si>
    <t>patwari 8
pbt 4 cont
patw 6
pbt 6</t>
  </si>
  <si>
    <t>19.12.25
19.12.25
21.12.25
21.12.25</t>
  </si>
  <si>
    <t>22.12.25</t>
  </si>
  <si>
    <t>30.01.26</t>
  </si>
  <si>
    <t>DDT HOLDING PTY LTD</t>
  </si>
  <si>
    <t>162LCIM-1232/25</t>
  </si>
  <si>
    <t>DDTTS-976</t>
  </si>
  <si>
    <t>18.01.26</t>
  </si>
  <si>
    <t>ok, 22.12.25</t>
  </si>
  <si>
    <t>15.02.26</t>
  </si>
  <si>
    <t>ok, 24.12.25</t>
  </si>
  <si>
    <t>14.01.26</t>
  </si>
  <si>
    <t>tej karan</t>
  </si>
  <si>
    <t>26.12.25</t>
  </si>
  <si>
    <t>10.01.26</t>
  </si>
  <si>
    <t>IG PETROCHEMICALS LTD</t>
  </si>
  <si>
    <t>162LCIM-1376/25</t>
  </si>
  <si>
    <t>BEXPSO/2526/00119</t>
  </si>
  <si>
    <t>283-286</t>
  </si>
  <si>
    <t>01.01.26</t>
  </si>
  <si>
    <t>OK, 01.01.26</t>
  </si>
  <si>
    <t>mt04604</t>
  </si>
  <si>
    <t>11.12.25</t>
  </si>
  <si>
    <t>02621P16528283</t>
  </si>
  <si>
    <t>5 cont dugad, 5 cont nicpl</t>
  </si>
  <si>
    <t>MT05052</t>
  </si>
  <si>
    <t>30.12.25</t>
  </si>
  <si>
    <t>20.02.26</t>
  </si>
  <si>
    <t>DP at SIGHT PRABHU</t>
  </si>
  <si>
    <t>pgcgdk 4cont
pgcgdk 4cont
pgcgdk 2cnt</t>
  </si>
  <si>
    <t>28.12.25
29.12.25
30.12.25</t>
  </si>
  <si>
    <t>SSLRGCCUCAA0472, 
samudera</t>
  </si>
  <si>
    <t>bslsinbrg2512402</t>
  </si>
  <si>
    <t>02621P18858283</t>
  </si>
  <si>
    <t>20.01.26</t>
  </si>
  <si>
    <t>A25192313
05.04.26</t>
  </si>
  <si>
    <t>A25192980
05.04.26</t>
  </si>
  <si>
    <t>26.01.26</t>
  </si>
  <si>
    <t>MEDULG597437</t>
  </si>
  <si>
    <t>ASR/SB/114/25</t>
  </si>
  <si>
    <t>SOYBEANS  (BAGS 50KG)</t>
  </si>
  <si>
    <t>MEDULG596926</t>
  </si>
  <si>
    <t>SOYBEANS (50 KG BAG)</t>
  </si>
  <si>
    <t xml:space="preserve">PENDING
MRKU9841028 not reach,CHANGE MRSU6822201 </t>
  </si>
  <si>
    <t>SITGTXBR578676</t>
  </si>
  <si>
    <t>CREDENCE INT TRADING LLC</t>
  </si>
  <si>
    <t xml:space="preserve">CIT/PI/011/2025 </t>
  </si>
  <si>
    <t>A25247497
22.03.26</t>
  </si>
  <si>
    <t>A25252420
29.03.26</t>
  </si>
  <si>
    <t>A25218343
14.02.26</t>
  </si>
  <si>
    <t>ASSAR INTERNATIONAL PTE 
LTD</t>
  </si>
  <si>
    <t>ASSAR INTERNATIONAL PTE
 LTD</t>
  </si>
  <si>
    <t>17.01.26</t>
  </si>
  <si>
    <t>OK, 06.01.26</t>
  </si>
  <si>
    <t>07.01.26</t>
  </si>
  <si>
    <t>ok 08.01.26, clean
doc</t>
  </si>
  <si>
    <t>FREY A/S</t>
  </si>
  <si>
    <t>ISDF0A125USD3231</t>
  </si>
  <si>
    <t>PS04993</t>
  </si>
  <si>
    <t>06.01.26</t>
  </si>
  <si>
    <t>U.S. YELLOW SOYBEANS</t>
  </si>
  <si>
    <t>10.03.26</t>
  </si>
  <si>
    <t>20.03.26</t>
  </si>
  <si>
    <t>006IMFLC252354</t>
  </si>
  <si>
    <t>ok, 11.01.26</t>
  </si>
  <si>
    <t>ISDF0A125USD3140</t>
  </si>
  <si>
    <t>MT04816</t>
  </si>
  <si>
    <t>03.01.26</t>
  </si>
  <si>
    <t>25.02.26</t>
  </si>
  <si>
    <t>A25236703
09.03.26</t>
  </si>
  <si>
    <t>A25178605
15.12.26</t>
  </si>
  <si>
    <t>006IMFLC252423</t>
  </si>
  <si>
    <t>U.S.NO.2 YELLOW SOYBEANS</t>
  </si>
  <si>
    <t>03.03.26</t>
  </si>
  <si>
    <t>24.01.26</t>
  </si>
  <si>
    <t>TEJ 3 CON
TEJ 3 CON
TEJ 3 CON
J41H 1 CON</t>
  </si>
  <si>
    <t>09.01.26
10.01.26
11.01.26
29.12.25</t>
  </si>
  <si>
    <t>DDTTS-1061A</t>
  </si>
  <si>
    <t>22.02.26</t>
  </si>
  <si>
    <t>174.76(325MT)</t>
  </si>
  <si>
    <t>M8270</t>
  </si>
  <si>
    <t>A25243058
17.03.26
A25240784
13.03.25</t>
  </si>
  <si>
    <t>13.01.26</t>
  </si>
  <si>
    <t>EB0011FOS04681</t>
  </si>
  <si>
    <t>12.01.26</t>
  </si>
  <si>
    <t>DP AT SIGHT EBL</t>
  </si>
  <si>
    <t>NDLDD2025-26</t>
  </si>
  <si>
    <t>MEDUHW506305</t>
  </si>
  <si>
    <t>LYSINE HCL
THREONINE</t>
  </si>
  <si>
    <t>27 MT
27 MT</t>
  </si>
  <si>
    <t>1020/MT
1185/MT</t>
  </si>
  <si>
    <t>BAF PREMIKS VE TARIM SAN.DIS.TIC.LTD.STI.</t>
  </si>
  <si>
    <t>006IMFLC252353</t>
  </si>
  <si>
    <t>202511101-NP</t>
  </si>
  <si>
    <t>TURKRY</t>
  </si>
  <si>
    <t>MEDUXK577666</t>
  </si>
  <si>
    <t>24.12.25</t>
  </si>
  <si>
    <t>12 MT
6 MT
5.5 MT</t>
  </si>
  <si>
    <t>1220/MT
2840/MT
2630/MT</t>
  </si>
  <si>
    <t>OK, 13.01.26</t>
  </si>
  <si>
    <t>ISDF0A125USD3130</t>
  </si>
  <si>
    <t>S04872</t>
  </si>
  <si>
    <t>U.S. NO2 SOYBEAN OR BETTER</t>
  </si>
  <si>
    <t>PATWARI</t>
  </si>
  <si>
    <t>pgc gdk 3 con
pgc gdk 6 con</t>
  </si>
  <si>
    <t>14.01.26
15.01.26</t>
  </si>
  <si>
    <t>M8289</t>
  </si>
  <si>
    <t>MEDUGT719960</t>
  </si>
  <si>
    <t>A26010009
14.04.26</t>
  </si>
  <si>
    <t>28.01.26</t>
  </si>
  <si>
    <t>01.03.26</t>
  </si>
  <si>
    <t>SHREE MAHALAXMI CHEMICALS</t>
  </si>
  <si>
    <t>0261P23648283</t>
  </si>
  <si>
    <t>08.01.26</t>
  </si>
  <si>
    <t>SMC008</t>
  </si>
  <si>
    <t>A25203361
21.04.26</t>
  </si>
  <si>
    <t>02.02.26</t>
  </si>
  <si>
    <t>TONGDA ENTERPRISES COMPANY LTD</t>
  </si>
  <si>
    <t>25E122401P</t>
  </si>
  <si>
    <t>ok, 20.01.26</t>
  </si>
  <si>
    <t xml:space="preserve">9
</t>
  </si>
  <si>
    <t xml:space="preserve">20
</t>
  </si>
  <si>
    <t>tej 1 x 40</t>
  </si>
  <si>
    <t>DDTTS-1061B</t>
  </si>
  <si>
    <t>31.01.26</t>
  </si>
  <si>
    <t>19.01.26</t>
  </si>
  <si>
    <t>A25203360
22.04.26</t>
  </si>
  <si>
    <t>M8195</t>
  </si>
  <si>
    <t>22.01.26</t>
  </si>
  <si>
    <t>A26004187
07.04.26</t>
  </si>
  <si>
    <t>DAP AT SIGHT EBL</t>
  </si>
  <si>
    <t>18.03.26</t>
  </si>
  <si>
    <t>ISDF0A125USD3795</t>
  </si>
  <si>
    <t>29.12.25</t>
  </si>
  <si>
    <t>PS05143</t>
  </si>
  <si>
    <t>29.01.26</t>
  </si>
  <si>
    <t>006IMFLC252455</t>
  </si>
  <si>
    <t>16.12.26</t>
  </si>
  <si>
    <t>BSLSINBRG2601018</t>
  </si>
  <si>
    <t>23.01.26</t>
  </si>
  <si>
    <t>006IMFLC260138</t>
  </si>
  <si>
    <t>162LCIM-0079/26</t>
  </si>
  <si>
    <t>006IMFLC260179</t>
  </si>
  <si>
    <t>ISDF0A125USD3755</t>
  </si>
  <si>
    <t>MT04972</t>
  </si>
  <si>
    <t>28.12.26</t>
  </si>
  <si>
    <t>AEL1968122</t>
  </si>
  <si>
    <t>162LCIM-1420/25</t>
  </si>
  <si>
    <t>24.12.26</t>
  </si>
  <si>
    <t>MT05053</t>
  </si>
  <si>
    <t>12
7</t>
  </si>
  <si>
    <t>A8196</t>
  </si>
  <si>
    <t>27.01.26
28.01.26</t>
  </si>
  <si>
    <t>09.02.26
10.02.26</t>
  </si>
  <si>
    <t>09.02.26</t>
  </si>
  <si>
    <t>09.02.28</t>
  </si>
  <si>
    <t>ok, 28.01.26</t>
  </si>
  <si>
    <t>pbt 3 cont
mahavir 2 co</t>
  </si>
  <si>
    <t>29.01.26
29.01.26</t>
  </si>
  <si>
    <t>ok, 29.01.26</t>
  </si>
  <si>
    <t>11.02.26</t>
  </si>
  <si>
    <t>AGRI DIRECT AUSTRALIA PTY LTD</t>
  </si>
  <si>
    <t>006IMFLC260136</t>
  </si>
  <si>
    <t>PI-26071-51</t>
  </si>
  <si>
    <t>AEL1980928</t>
  </si>
  <si>
    <t>CANOLA SEED GRAINS</t>
  </si>
  <si>
    <t>28.02.26</t>
  </si>
  <si>
    <t>18.02.26</t>
  </si>
  <si>
    <t>13.02.26</t>
  </si>
  <si>
    <t>01.02.26</t>
  </si>
  <si>
    <t>A25210576
01.05.26</t>
  </si>
  <si>
    <t>25E120401P</t>
  </si>
  <si>
    <t>ISDF0A126USD0110</t>
  </si>
  <si>
    <t>25E120402P</t>
  </si>
  <si>
    <t>pbt 5 con
pbt 10 con
pbt 4 cont</t>
  </si>
  <si>
    <t>29.01.26
30.01.26
02.02.26</t>
  </si>
  <si>
    <t>M8326</t>
  </si>
  <si>
    <t>10.05.26</t>
  </si>
  <si>
    <t>A25244662
18.03.26</t>
  </si>
  <si>
    <t>02621P21478283</t>
  </si>
  <si>
    <t>MT04743</t>
  </si>
  <si>
    <t>AEL1975798B</t>
  </si>
  <si>
    <t>09.01.26</t>
  </si>
  <si>
    <t>03.02.26</t>
  </si>
  <si>
    <t>A25213468
05.05.26</t>
  </si>
  <si>
    <t xml:space="preserve">006iMFLC260214 </t>
  </si>
  <si>
    <t>CO243432</t>
  </si>
  <si>
    <t>MEDUGR835356</t>
  </si>
  <si>
    <t>pbt 2 con
sushilji 3 con</t>
  </si>
  <si>
    <t>03.02.26
03.02.26</t>
  </si>
  <si>
    <t>A25214156
07.05.26</t>
  </si>
  <si>
    <t>162LCIM-0022/26</t>
  </si>
  <si>
    <t>URMPL/72118/2025-26</t>
  </si>
  <si>
    <t>MEDUH9191246</t>
  </si>
  <si>
    <t>15.01.2026</t>
  </si>
  <si>
    <t>08.02.26</t>
  </si>
  <si>
    <t>VAN AARSEN FEED MILL TECH</t>
  </si>
  <si>
    <t>HBLIFX09820259</t>
  </si>
  <si>
    <t>59536/PFI</t>
  </si>
  <si>
    <t>NETHERLAND</t>
  </si>
  <si>
    <t>35114337, Famous pacific
 line</t>
  </si>
  <si>
    <t>DIE HOLDER C750</t>
  </si>
  <si>
    <t>E 39886.6</t>
  </si>
  <si>
    <t>OK, 01.02.26</t>
  </si>
  <si>
    <t>ok, 06.02.26</t>
  </si>
  <si>
    <t>02621P18148283</t>
  </si>
  <si>
    <t>30.11.26</t>
  </si>
  <si>
    <t>AEL1975801A</t>
  </si>
  <si>
    <t>nicpl 5, 1 con duggad</t>
  </si>
  <si>
    <t>15.04.26</t>
  </si>
  <si>
    <t>DUGGAD FULL</t>
  </si>
  <si>
    <t>CJ CHEIL JEDANG CORP</t>
  </si>
  <si>
    <t>IUDF0A125USD5398</t>
  </si>
  <si>
    <t>PBOT2026/0101</t>
  </si>
  <si>
    <t>OK, 06.02.26</t>
  </si>
  <si>
    <t>ok, 08.02.26</t>
  </si>
  <si>
    <t>152.32(250)</t>
  </si>
  <si>
    <t>097ILCS83USD0433,nnpl</t>
  </si>
  <si>
    <t>ok, 09.02.26</t>
  </si>
  <si>
    <t>23.02.26</t>
  </si>
  <si>
    <t>ok, 07.01.26</t>
  </si>
  <si>
    <t>SHANDONG AOCTER FEED ADDITIVES CO. PVT LTD</t>
  </si>
  <si>
    <t>PI25SN0019</t>
  </si>
  <si>
    <t>CHOLINE CHLORIDE 60%</t>
  </si>
  <si>
    <t>MT04825/A/B</t>
  </si>
  <si>
    <t>19(18)</t>
  </si>
  <si>
    <t>caau8503021 pending</t>
  </si>
  <si>
    <t>MT05091/B/C</t>
  </si>
  <si>
    <t>EXPORT TRADING GROUP AUSTRALIA PTY LTD</t>
  </si>
  <si>
    <t>02621P26548283</t>
  </si>
  <si>
    <t>S250376</t>
  </si>
  <si>
    <t>AEL1995722</t>
  </si>
  <si>
    <t>NIPPER TYPE LENTILS</t>
  </si>
  <si>
    <t>pbt 5 con
PBT 5 CON</t>
  </si>
  <si>
    <t>10.02.26
11.02.26</t>
  </si>
  <si>
    <t>MEDULG604746</t>
  </si>
  <si>
    <t>006IMFLC260326</t>
  </si>
  <si>
    <t>12.02.26</t>
  </si>
  <si>
    <t>14.02.26</t>
  </si>
  <si>
    <t>06.03.26</t>
  </si>
  <si>
    <t>16.02.26</t>
  </si>
  <si>
    <t>07.02.26</t>
  </si>
  <si>
    <t>sanjay khandel</t>
  </si>
  <si>
    <t>02.03.26</t>
  </si>
  <si>
    <t>DDTTS-1093</t>
  </si>
  <si>
    <t>Desi Chickpeas No 1</t>
  </si>
  <si>
    <t>22.03.26</t>
  </si>
  <si>
    <t>10.04.26</t>
  </si>
  <si>
    <t>DDTTS-1096</t>
  </si>
  <si>
    <t>Australian Red lentils Nipper No 1</t>
  </si>
  <si>
    <t>11.03.26</t>
  </si>
  <si>
    <t>IUDF0A126USD0015</t>
  </si>
  <si>
    <t>MEDUOI343346</t>
  </si>
  <si>
    <t>18
4</t>
  </si>
  <si>
    <t>1.44
1.33</t>
  </si>
  <si>
    <t>05.04.26</t>
  </si>
  <si>
    <t>25.04.26</t>
  </si>
  <si>
    <t>05.02.26</t>
  </si>
  <si>
    <t>A26038838
19.05.26</t>
  </si>
  <si>
    <t>006IMFLC260258</t>
  </si>
  <si>
    <t>M8186</t>
  </si>
  <si>
    <t>04.03.26</t>
  </si>
  <si>
    <t>25.03.26</t>
  </si>
  <si>
    <t>sushilji 2 con
pgc gdk 3 con</t>
  </si>
  <si>
    <t>19.02.26
19.02.26</t>
  </si>
  <si>
    <t>Rohit</t>
  </si>
  <si>
    <t>19.02.26</t>
  </si>
  <si>
    <t>A25227253
23.05.26</t>
  </si>
  <si>
    <t>PBT 5 CON
pbt 5 cont</t>
  </si>
  <si>
    <t>17.02.26
22.02.26</t>
  </si>
  <si>
    <t>A26027375
06.05.26</t>
  </si>
  <si>
    <t>006IMFLC260372</t>
  </si>
  <si>
    <t>DDTTS-1071</t>
  </si>
  <si>
    <t>1(18)</t>
  </si>
  <si>
    <t>24.02.26</t>
  </si>
  <si>
    <t>ok, 24.02.26</t>
  </si>
  <si>
    <t>C0259279</t>
  </si>
  <si>
    <t>19.03.26</t>
  </si>
  <si>
    <t>006IMFLC260371</t>
  </si>
  <si>
    <t>DDTTS-1083</t>
  </si>
  <si>
    <t>20.04.26</t>
  </si>
  <si>
    <t>30.04.26</t>
  </si>
  <si>
    <t>ok, 25.02.26</t>
  </si>
  <si>
    <t>26.02.26</t>
  </si>
  <si>
    <t>02621P17738283</t>
  </si>
  <si>
    <t>27.11.26</t>
  </si>
  <si>
    <t>MT04802</t>
  </si>
  <si>
    <t>006IMFLC260157</t>
  </si>
  <si>
    <t>SMINICPL251229W</t>
  </si>
  <si>
    <t>3
11
4
2</t>
  </si>
  <si>
    <t>2.5/KG
2.3
4.5
1.5</t>
  </si>
  <si>
    <t>ISDF0A126USD0341</t>
  </si>
  <si>
    <t>PS05517</t>
  </si>
  <si>
    <t>US YELLOW SOYBEAN NO 2 OR BETTER</t>
  </si>
  <si>
    <t>006IMFLC252349</t>
  </si>
  <si>
    <t>25-W1179</t>
  </si>
  <si>
    <t>02621P17188283</t>
  </si>
  <si>
    <t>24-W1075</t>
  </si>
  <si>
    <t>27.02.26</t>
  </si>
  <si>
    <t>14.03.26</t>
  </si>
  <si>
    <t>17.02.26</t>
  </si>
  <si>
    <t>GDYNIA, POLAND</t>
  </si>
  <si>
    <t>006IMFLC260413</t>
  </si>
  <si>
    <t>MT05176</t>
  </si>
  <si>
    <t>A26027378
06.05.26</t>
  </si>
  <si>
    <t>15.05.26</t>
  </si>
  <si>
    <t>DAP at sight Prabhu</t>
  </si>
  <si>
    <t xml:space="preserve">PBT 5 CON
PBT 3 CON
PGC GDK 3
PGC GDK 5
pgc gdk 2 </t>
  </si>
  <si>
    <t>23.02.26
24.02.26
25.02.26
26.02.26
28.02.26</t>
  </si>
  <si>
    <t>OK, 01.03.26</t>
  </si>
  <si>
    <t>097ILCS83USD0415</t>
  </si>
  <si>
    <t>S250338</t>
  </si>
  <si>
    <t>AEL1995733</t>
  </si>
  <si>
    <t>GRAINCORP OPERATION LIMITED</t>
  </si>
  <si>
    <t>HBDFX09820849</t>
  </si>
  <si>
    <t>27.01.26</t>
  </si>
  <si>
    <t>CANOLA NO. 1 CANADA</t>
  </si>
  <si>
    <t>20.05.26</t>
  </si>
  <si>
    <t>A25236594
08.06.26</t>
  </si>
  <si>
    <t>A26050202
06.06.26</t>
  </si>
  <si>
    <t>A25236769
08.06.26</t>
  </si>
  <si>
    <t>A25236658
08.06.26</t>
  </si>
  <si>
    <t>08.03.26</t>
  </si>
  <si>
    <t>097ILCS83USD0427</t>
  </si>
  <si>
    <t>MT05059</t>
  </si>
  <si>
    <t>MEDUGG634033</t>
  </si>
  <si>
    <t>09.03.26</t>
  </si>
  <si>
    <t>13.03.26</t>
  </si>
  <si>
    <t>02.04.26</t>
  </si>
  <si>
    <t>05.03.26</t>
  </si>
  <si>
    <t>16.03.26</t>
  </si>
  <si>
    <t>26.03.26</t>
  </si>
  <si>
    <t>21.03.26</t>
  </si>
  <si>
    <t>ok, 10.03.26</t>
  </si>
  <si>
    <t>A25236660
08.06.26</t>
  </si>
  <si>
    <t>A25241275
14.06.26</t>
  </si>
  <si>
    <t>A25241267
14.06.26</t>
  </si>
  <si>
    <t>24.03.26</t>
  </si>
  <si>
    <t>Pgc gdk 5 con
pbt 5 cont
PBT 5 CON
PGC 5 CON</t>
  </si>
  <si>
    <t>09.03.26
10.03.26
11.03.26
11.03.26</t>
  </si>
  <si>
    <t>ok, 11.03.26</t>
  </si>
  <si>
    <t>006IMFLC260041</t>
  </si>
  <si>
    <t>MT05101</t>
  </si>
  <si>
    <t>MEDUGG634041</t>
  </si>
  <si>
    <t>ok, 12.03.26</t>
  </si>
  <si>
    <t>A25244371
17.06.26</t>
  </si>
  <si>
    <t>17.03.26</t>
  </si>
  <si>
    <t>US NO 2 OR BETTER YELLOW SOYBEANS</t>
  </si>
  <si>
    <t>001LCIFS26-0097</t>
  </si>
  <si>
    <t>A25247499
21.06.26</t>
  </si>
  <si>
    <t>A25247498
21.06.26</t>
  </si>
  <si>
    <t>A25247478
21.06.26</t>
  </si>
  <si>
    <t>A25247496
21.06.26</t>
  </si>
  <si>
    <t>001LCIFS26-0100</t>
  </si>
  <si>
    <t>A8432</t>
  </si>
  <si>
    <t>08.04.26</t>
  </si>
  <si>
    <t>DP at SIGHT MACHAPUCHARE</t>
  </si>
  <si>
    <t>A8431</t>
  </si>
  <si>
    <t>A25247494
21.06.26</t>
  </si>
  <si>
    <t>MT05105/A</t>
  </si>
  <si>
    <t>A25214155
07.05.26</t>
  </si>
  <si>
    <t>ok,18.03.26</t>
  </si>
  <si>
    <t>ok, 18.03.26</t>
  </si>
  <si>
    <t>OK, 17.03.26</t>
  </si>
  <si>
    <t>TEJ KARAN 6 CON</t>
  </si>
  <si>
    <t>A25249326
23.06.26</t>
  </si>
  <si>
    <t>09.04.26</t>
  </si>
  <si>
    <t>A25250315
25.06.26</t>
  </si>
  <si>
    <t>A25250281
25.06.26</t>
  </si>
  <si>
    <t>04.04.26</t>
  </si>
  <si>
    <t>12.03.26</t>
  </si>
  <si>
    <t>DLN0273585, ecmu2981063</t>
  </si>
  <si>
    <t>04.05.26</t>
  </si>
  <si>
    <t>29.03.26</t>
  </si>
  <si>
    <t>27.03.26</t>
  </si>
  <si>
    <t>12.04.26</t>
  </si>
  <si>
    <t>13.05.26</t>
  </si>
  <si>
    <t>D002SU0387</t>
  </si>
  <si>
    <t>MEDUGT718269</t>
  </si>
  <si>
    <t>MEDUOD565695</t>
  </si>
  <si>
    <t>162LCIM-0373/26</t>
  </si>
  <si>
    <t>MT05201</t>
  </si>
  <si>
    <t>MEDUOD566131</t>
  </si>
  <si>
    <t>23.03.26</t>
  </si>
  <si>
    <t>pbt, TGHU1817184</t>
  </si>
  <si>
    <t>PAPERBARK COMMODITIES LTD</t>
  </si>
  <si>
    <t>162LCIM-0324/26</t>
  </si>
  <si>
    <t>LAN26012</t>
  </si>
  <si>
    <t>ok, 23.03.26</t>
  </si>
  <si>
    <t>6(1)</t>
  </si>
  <si>
    <t>pgc gdk 6 con</t>
  </si>
  <si>
    <t>A26009283
13.04.2026</t>
  </si>
  <si>
    <t>sanjay khandelwal</t>
  </si>
  <si>
    <t>001LCIFS26-0099</t>
  </si>
  <si>
    <t>C0260312</t>
  </si>
  <si>
    <t>AEL2005784</t>
  </si>
  <si>
    <t>25.05.26</t>
  </si>
  <si>
    <t>162LCIM-0277/26</t>
  </si>
  <si>
    <t>MT05183</t>
  </si>
  <si>
    <t>MT04825/C</t>
  </si>
  <si>
    <t>MEDUGG644156</t>
  </si>
  <si>
    <t>18.04.26</t>
  </si>
  <si>
    <t>097ILCS83USD0428</t>
  </si>
  <si>
    <t>MT05067/A</t>
  </si>
  <si>
    <t>MEDUGG632672</t>
  </si>
  <si>
    <t>MEDUGR853243</t>
  </si>
  <si>
    <t>DDTTS-1113</t>
  </si>
  <si>
    <t>MEDUGR856824</t>
  </si>
  <si>
    <t>28.03.26</t>
  </si>
  <si>
    <t>07.04.26</t>
  </si>
  <si>
    <t>ok, 29.03.26</t>
  </si>
  <si>
    <t>30.03.26</t>
  </si>
  <si>
    <t>ok, 30.03.26</t>
  </si>
  <si>
    <t>01.04.26</t>
  </si>
  <si>
    <t>05.06.26</t>
  </si>
  <si>
    <t>Tej karan</t>
  </si>
  <si>
    <t>A26009283
13.04.26</t>
  </si>
  <si>
    <t>MEDUVC949744</t>
  </si>
  <si>
    <t>ok,30.03.26</t>
  </si>
  <si>
    <t>pbt 5 cont
pbt 5 cont
pbt 5 cont</t>
  </si>
  <si>
    <t>28.03.26
29.03.26
31.03.26</t>
  </si>
  <si>
    <t>GREEN MUNG BEANS</t>
  </si>
  <si>
    <t>31.03.26</t>
  </si>
  <si>
    <t>HBDFX09820991</t>
  </si>
  <si>
    <t>MEDUVC968405</t>
  </si>
  <si>
    <t>A25247495
21.06.26</t>
  </si>
  <si>
    <t>R.V. EXPORTS LTD</t>
  </si>
  <si>
    <t>R.V.25/26.21</t>
  </si>
  <si>
    <t>ONEXDARG00394900</t>
  </si>
  <si>
    <t>A26061864
19.06.26</t>
  </si>
  <si>
    <t>DP at SIGHT LAXMI</t>
  </si>
  <si>
    <t>payment pend</t>
  </si>
  <si>
    <t>A26004193
30.06.26</t>
  </si>
  <si>
    <t>001LCIFS26-0111</t>
  </si>
  <si>
    <t>MT05172/A/B/C</t>
  </si>
  <si>
    <t>MEDUGG633225</t>
  </si>
  <si>
    <t>ok, 02.04.26</t>
  </si>
  <si>
    <t>rohit 6 CONT
ROHIT 6 CON</t>
  </si>
  <si>
    <t>31.03.26
03.04.26</t>
  </si>
  <si>
    <t>CREDENCE INTERNATIONAL TRADING LLC</t>
  </si>
  <si>
    <t>CIT/PI/007/2026</t>
  </si>
  <si>
    <t>ok, 03.04.26</t>
  </si>
  <si>
    <t>17.04.26</t>
  </si>
  <si>
    <t>SSLRGCCUCAA0520, SAMUDERA</t>
  </si>
  <si>
    <t>BLACK MATPE FAQ 2026CROOP</t>
  </si>
  <si>
    <t>A26061873
19.06.26</t>
  </si>
  <si>
    <t>24.04.26</t>
  </si>
  <si>
    <t>06.04.26</t>
  </si>
  <si>
    <t>19.04.26</t>
  </si>
  <si>
    <t>ok, 07.04.26</t>
  </si>
  <si>
    <t>hasu4143480</t>
  </si>
  <si>
    <t>caau5172737,PAYMENT PENDING</t>
  </si>
  <si>
    <t>08.04.26
08.04.26</t>
  </si>
  <si>
    <t>pgc gdk 4 con
pbt 4 cont</t>
  </si>
  <si>
    <t>05.04.26
09.04.26</t>
  </si>
  <si>
    <t>162LCIM-0340/26</t>
  </si>
  <si>
    <t>S250407</t>
  </si>
  <si>
    <t>AEL2010862</t>
  </si>
  <si>
    <t>006IMFLC260641</t>
  </si>
  <si>
    <t>SOYBEANS U.S NO 2</t>
  </si>
  <si>
    <t>29.04.26</t>
  </si>
  <si>
    <t>30.05.26</t>
  </si>
  <si>
    <t>162LCIM-0441/26</t>
  </si>
  <si>
    <t>MT05191</t>
  </si>
  <si>
    <t>A26039940
21.05.26</t>
  </si>
  <si>
    <t>D002SU0421</t>
  </si>
  <si>
    <t>SSA-26-997</t>
  </si>
  <si>
    <t>AEL2001953</t>
  </si>
  <si>
    <t>CANOLA GRAIN</t>
  </si>
  <si>
    <t>A26073100
30.06.26</t>
  </si>
  <si>
    <t>A26033036
13.05.26</t>
  </si>
  <si>
    <t>A26056237
13.06.26</t>
  </si>
  <si>
    <t>A26006111
07.07.26</t>
  </si>
  <si>
    <t>DLN0282679, vizag</t>
  </si>
  <si>
    <t>OK, 10.04.26</t>
  </si>
  <si>
    <t>A26009284
12.07.26</t>
  </si>
  <si>
    <t>23.04.26</t>
  </si>
  <si>
    <t>BETAINE, PHYTASE, 
ENZYMES, ANTI MOLD</t>
  </si>
  <si>
    <t>charges pend</t>
  </si>
  <si>
    <t>ASR/SB/113/25</t>
  </si>
  <si>
    <t>charges pending</t>
  </si>
  <si>
    <t>MEDUHI761972</t>
  </si>
  <si>
    <t>A26011067
14.07.26</t>
  </si>
  <si>
    <t>01.05.26</t>
  </si>
  <si>
    <t>SSLRGCCUCAA0524
samudera</t>
  </si>
  <si>
    <t>16.05.26</t>
  </si>
  <si>
    <t>23.05.26</t>
  </si>
  <si>
    <t>08.05.26</t>
  </si>
  <si>
    <t>09.05.26</t>
  </si>
  <si>
    <t>14.05.26</t>
  </si>
  <si>
    <t>21.04.26</t>
  </si>
  <si>
    <t>006IMFLC260514</t>
  </si>
  <si>
    <t>U.S.NO 2 YELLOW SOYBEANS</t>
  </si>
  <si>
    <t>03.06.26</t>
  </si>
  <si>
    <t>A26017399
21.07.26</t>
  </si>
  <si>
    <t>02621P35128283</t>
  </si>
  <si>
    <t>24.05.26</t>
  </si>
  <si>
    <t>24.06.26</t>
  </si>
  <si>
    <t>ok, 21.04.26</t>
  </si>
  <si>
    <t>ok, 22.04.26</t>
  </si>
  <si>
    <t>07.05.26</t>
  </si>
  <si>
    <t>07.06.26</t>
  </si>
  <si>
    <t>23(1)</t>
  </si>
  <si>
    <t>TCKU3089899 Pending</t>
  </si>
  <si>
    <t>pgc gdk 5 con
pbt 1 con
pgc gdk 3
pbt 3
pgc gdk 2</t>
  </si>
  <si>
    <t>21.04.26
21.04.26
22.04.26
22.04.26
23.04.26</t>
  </si>
  <si>
    <t>03.05.26</t>
  </si>
  <si>
    <t>ONEYDARG00448902</t>
  </si>
  <si>
    <t>DP AT SIGHT, NNPL</t>
  </si>
  <si>
    <t>ok, 24.04.26</t>
  </si>
  <si>
    <t>AEL2005785</t>
  </si>
  <si>
    <t>DUGGAD</t>
  </si>
  <si>
    <t>27.04.26</t>
  </si>
  <si>
    <t>R.V.25/26.22</t>
  </si>
  <si>
    <t>DP AT SIGHT NICPL PRABHU</t>
  </si>
  <si>
    <t>HBLIFX09821121</t>
  </si>
  <si>
    <t>17.06.26</t>
  </si>
  <si>
    <t>A26021246
27.07.26</t>
  </si>
  <si>
    <t>A26021252
27.07.26</t>
  </si>
  <si>
    <t>(22)1</t>
  </si>
  <si>
    <t>22 con dispatch,
MRKU8995034 pend</t>
  </si>
  <si>
    <t>23.04.26
24.04.26
25.04.26
26.04.26
27.04.26</t>
  </si>
  <si>
    <t>pbt 4 con
pbt 4 con
pbt 5 con
pbt 7 con
pbt 3 con</t>
  </si>
  <si>
    <t>26.04.26</t>
  </si>
  <si>
    <t>MT05160/B/A</t>
  </si>
  <si>
    <t>006IMFLC260538</t>
  </si>
  <si>
    <t>12.05.26</t>
  </si>
  <si>
    <t>A26096950
28.07.26</t>
  </si>
  <si>
    <t>28.04.26</t>
  </si>
  <si>
    <t>11.05.26</t>
  </si>
  <si>
    <t xml:space="preserve">ok, 20.03.26
</t>
  </si>
  <si>
    <t>30.04.26
01.05.26
02.05.26</t>
  </si>
  <si>
    <t>pbt 6 con
pbt 10 con
pbt 4 con</t>
  </si>
  <si>
    <t>28.04.26
29.04.26
01.05.26</t>
  </si>
  <si>
    <t>pgc gdk 3 con
pgc gdk 6 con
pbt 5 con</t>
  </si>
  <si>
    <t>pbt 6 con
pbt2 con</t>
  </si>
  <si>
    <t>27.04.26
03.05.26</t>
  </si>
  <si>
    <t>pgc gdk 5 con
pgc gdk 5 con
pbt 1 con
pbt 3 con
pbt 1 con</t>
  </si>
  <si>
    <t>24.04.26
25.04.26
25.04.26
27.04.26
03.05.26</t>
  </si>
  <si>
    <t>pgc htd 3 con
pgc htd 5 con</t>
  </si>
  <si>
    <t>30.04.26
03.05.26</t>
  </si>
  <si>
    <t>17.05.26</t>
  </si>
  <si>
    <t>05.05.26</t>
  </si>
  <si>
    <t>A26030238
08.08.26</t>
  </si>
  <si>
    <t>A26073102
30.06.26</t>
  </si>
  <si>
    <t>06.05.26</t>
  </si>
  <si>
    <t>pgc gdk 3 con
pgc gdk 5 con</t>
  </si>
  <si>
    <t>05.05.26
06.05.26</t>
  </si>
  <si>
    <t>21.05.26</t>
  </si>
  <si>
    <t>ARYA PULSES AUSTRALIA PTY LTD</t>
  </si>
  <si>
    <t>APA0896</t>
  </si>
  <si>
    <t>MEDUGG657463</t>
  </si>
  <si>
    <t>05.07.26</t>
  </si>
  <si>
    <t>26.05.26</t>
  </si>
  <si>
    <t>mt05184/A</t>
  </si>
  <si>
    <t>AUSTRALIAN GRAIN EXPORT PTY LTD</t>
  </si>
  <si>
    <t>097ILCS83USD0637</t>
  </si>
  <si>
    <t>03.04.26</t>
  </si>
  <si>
    <t>S20046</t>
  </si>
  <si>
    <t>02621P35918283</t>
  </si>
  <si>
    <t>29.05.26</t>
  </si>
  <si>
    <t>22.05.26</t>
  </si>
  <si>
    <t>MEDUXK845261</t>
  </si>
  <si>
    <t>RED LENTILS BROKEN</t>
  </si>
  <si>
    <t>ok, 12.05.26</t>
  </si>
  <si>
    <t>pbt 6 con
pbt 5 con
pbt 3 con</t>
  </si>
  <si>
    <t>10.05.26
11.05.26
12.05.26</t>
  </si>
  <si>
    <t>ok, 13.05.26</t>
  </si>
  <si>
    <t>28.05.26</t>
  </si>
  <si>
    <t>162LCIM-0363/26</t>
  </si>
  <si>
    <t>MT05192</t>
  </si>
  <si>
    <t>A26105183
08.08.26</t>
  </si>
  <si>
    <t>AGRI FORTUNE PTE LTD</t>
  </si>
  <si>
    <t>19.05.26</t>
  </si>
  <si>
    <t>pbt 10 con
pbt 10 con
pbt 2 con</t>
  </si>
  <si>
    <t>16.05.26
17.05.26
18.05.26</t>
  </si>
  <si>
    <t>ok, 19.05.26</t>
  </si>
  <si>
    <t>INTERNATIONAL FEED CORPORATION</t>
  </si>
  <si>
    <t>001LCIFU26-0080</t>
  </si>
  <si>
    <t>SC_12587</t>
  </si>
  <si>
    <t>04.06.26</t>
  </si>
  <si>
    <t>ok, 20.05.26</t>
  </si>
  <si>
    <t>ok, 22.05.26</t>
  </si>
  <si>
    <t>rohit  4 con
rohit 4 con
rohit 2 con</t>
  </si>
  <si>
    <t>19.05.26
20.05.26
22.05.26</t>
  </si>
  <si>
    <t>A26035048
15.08.26</t>
  </si>
  <si>
    <t>162LCIM-0694/26</t>
  </si>
  <si>
    <t>MT05240/A</t>
  </si>
  <si>
    <t>ISDF0A126USD1440</t>
  </si>
  <si>
    <t>MEL600246100, PIL</t>
  </si>
  <si>
    <t>DUTY OK</t>
  </si>
  <si>
    <t>A26028153
05.08.26</t>
  </si>
  <si>
    <t>A26038656
18.08.26</t>
  </si>
  <si>
    <t>A26033026
12.08.26</t>
  </si>
  <si>
    <t>A26028154
05.08.26</t>
  </si>
  <si>
    <t>A26032132
10.08.26</t>
  </si>
  <si>
    <t>A26044535
26.08.26</t>
  </si>
  <si>
    <t>A26041436
23.08.26</t>
  </si>
  <si>
    <t>A26028157
05.08.26</t>
  </si>
  <si>
    <t>A26044522
26.08.26</t>
  </si>
  <si>
    <t>A26028171
05.08.26</t>
  </si>
  <si>
    <t>PGC GDK 4CON
pgc gdk 4 con</t>
  </si>
  <si>
    <t>24.05.26
25.05.26</t>
  </si>
  <si>
    <t>A26041395
22.08.26</t>
  </si>
  <si>
    <t>gpc, cms, do</t>
  </si>
  <si>
    <t>A26033816
12.08.26</t>
  </si>
  <si>
    <t>OK, 25.05.26</t>
  </si>
  <si>
    <t>31.05.26</t>
  </si>
  <si>
    <t>18.05.26</t>
  </si>
  <si>
    <t>01.06.26</t>
  </si>
  <si>
    <t>ok, 26.05.26</t>
  </si>
  <si>
    <t>097ILCS83USD0708</t>
  </si>
  <si>
    <t>S20088</t>
  </si>
  <si>
    <t>SIN600675400,PIL</t>
  </si>
  <si>
    <t>COAU7268890533, COSCO</t>
  </si>
  <si>
    <t>A26045662
27.08.26</t>
  </si>
  <si>
    <t>02.06.26</t>
  </si>
  <si>
    <t>30.06.26</t>
  </si>
  <si>
    <t>30.07.26</t>
  </si>
  <si>
    <t xml:space="preserve">AFPL/4010/FAQ/2026 </t>
  </si>
  <si>
    <t>DAP at sight Laxmi</t>
  </si>
  <si>
    <t>27.05.26</t>
  </si>
  <si>
    <t>09.06.26</t>
  </si>
  <si>
    <t>097ILCS83USD0744</t>
  </si>
  <si>
    <t>A26111644
15.08.26</t>
  </si>
  <si>
    <t>MT05268/A/B</t>
  </si>
  <si>
    <t>12.06.26</t>
  </si>
  <si>
    <t>22 con dispatch,
MRKU8995034 pend SEKU4616003</t>
  </si>
  <si>
    <t>IUDF0A126USD2012</t>
  </si>
  <si>
    <t>SIN600769500</t>
  </si>
  <si>
    <t>HBLIFX09821113</t>
  </si>
  <si>
    <t>A26105191
08.08.26</t>
  </si>
  <si>
    <t>ISDF0A126USD1231</t>
  </si>
  <si>
    <t>CAN26015</t>
  </si>
  <si>
    <t>MEDUEZ481551</t>
  </si>
  <si>
    <t>001LCIFU26-0079</t>
  </si>
  <si>
    <t>THE DELONG CO. INC</t>
  </si>
  <si>
    <t>HBDFX09821279</t>
  </si>
  <si>
    <t>US GRADE NO.2OR BETTER</t>
  </si>
  <si>
    <t>D OK</t>
  </si>
  <si>
    <t>D OK 1488000</t>
  </si>
  <si>
    <t>D OK, 5612000</t>
  </si>
  <si>
    <t>OK 2291000</t>
  </si>
  <si>
    <t>11.06.26</t>
  </si>
  <si>
    <t>ok, 01.06.26, unload dryport</t>
  </si>
  <si>
    <t>A26037947
18.08.26</t>
  </si>
  <si>
    <t>kamlasati 5 c
kam 3 co
kam 3 co
kam 4 con</t>
  </si>
  <si>
    <t>25.05.26
31.05.26
01.06.26
02.06.26</t>
  </si>
  <si>
    <t>oocu1120830, cbhu4501445</t>
  </si>
  <si>
    <t>D 2500000ok</t>
  </si>
  <si>
    <t>pbt 3 con
pbt 7 co
pbt 4 con
pbt 4 con</t>
  </si>
  <si>
    <t>31.05.26
01.06.26
02.06.26
03.06.26</t>
  </si>
  <si>
    <t>ok, 04.06.26</t>
  </si>
  <si>
    <t>A26050198
06.09.26</t>
  </si>
  <si>
    <t>A26050211
06.09.26</t>
  </si>
  <si>
    <t>23.06.26</t>
  </si>
  <si>
    <t>22.07.26</t>
  </si>
  <si>
    <t>13.06.26</t>
  </si>
  <si>
    <t>06.06.26</t>
  </si>
  <si>
    <t>08.06.26</t>
  </si>
  <si>
    <t>MEDUVC943036, cms ok</t>
  </si>
  <si>
    <t>19.06.26</t>
  </si>
  <si>
    <t>CAAU2844587 reach 06.06.26</t>
  </si>
  <si>
    <t>KAMALASATI</t>
  </si>
  <si>
    <t>pbt 3 con
pbt 3 con
pbt 9 con
pbt 5 con</t>
  </si>
  <si>
    <t>03.06.26
05.06.26
06.06.26
07.06.26</t>
  </si>
  <si>
    <t>DO OK</t>
  </si>
  <si>
    <t>ADROIT OVERSEAS ENTERPRISES LTD.</t>
  </si>
  <si>
    <t>S261974</t>
  </si>
  <si>
    <t>AEL2035949</t>
  </si>
  <si>
    <t>RED LENTILS NIPPER TYPE</t>
  </si>
  <si>
    <t>A26114271
19.08.26</t>
  </si>
  <si>
    <t>ok, 10.06.26</t>
  </si>
  <si>
    <t>22.06.26</t>
  </si>
  <si>
    <t>OK, 19.05.26
charges pend</t>
  </si>
  <si>
    <t>DO ok</t>
  </si>
  <si>
    <t>do ok</t>
  </si>
  <si>
    <t>10.06.26</t>
  </si>
  <si>
    <t>pbt 2 con
pbt 4 con
pbt 4 con
pgc gdk 1 con
pbt 3 con</t>
  </si>
  <si>
    <t>03.06.26
04.06.26
05.06.26
10.06.26
11.06.26</t>
  </si>
  <si>
    <t>14.06.26</t>
  </si>
  <si>
    <t>D002SU0505</t>
  </si>
  <si>
    <t>MT05276</t>
  </si>
  <si>
    <t>28.06.26</t>
  </si>
  <si>
    <t>16.06.26</t>
  </si>
  <si>
    <t>nrs 36000 pad</t>
  </si>
  <si>
    <t>nrs 228000 paid</t>
  </si>
  <si>
    <t>06.06.26
08.06.26
11.06.26</t>
  </si>
  <si>
    <t>pbt 4 con
pgc gdk 4 con</t>
  </si>
  <si>
    <t>12.06.26
12.06.26</t>
  </si>
  <si>
    <t>Tej karan
rel req sign</t>
  </si>
  <si>
    <t>Tej karan, rel req sign</t>
  </si>
  <si>
    <t>MT05233</t>
  </si>
  <si>
    <t>OK 14.06.26</t>
  </si>
  <si>
    <t>pbt 1 con
pgc gdk 4 con
pgc gdk 8 co</t>
  </si>
  <si>
    <t>rel req done,charges pending</t>
  </si>
  <si>
    <t>A26058733
15.09.26</t>
  </si>
  <si>
    <t>A26058732
15.09.26</t>
  </si>
  <si>
    <t>20.07.26</t>
  </si>
  <si>
    <t>01.07.26</t>
  </si>
  <si>
    <t>ok, 10.06.26,do ok</t>
  </si>
  <si>
    <t>(15)1</t>
  </si>
  <si>
    <t xml:space="preserve">pgc gdk 5 con
pgc gdk 10 co
</t>
  </si>
  <si>
    <t xml:space="preserve">14.06.26
15.06.26
</t>
  </si>
  <si>
    <t>do ok, con no medu1333354
pend</t>
  </si>
  <si>
    <t>charge pend</t>
  </si>
  <si>
    <t>DO OK, duty ok</t>
  </si>
  <si>
    <t>ok, 12.05.26, do ok,duty ok</t>
  </si>
  <si>
    <t>ok, 16.06.26</t>
  </si>
  <si>
    <t>Tej karan;clean doc</t>
  </si>
  <si>
    <t>A26060073
17.09.26</t>
  </si>
  <si>
    <t>A26062710
20.09.26</t>
  </si>
  <si>
    <t>A26061898
19.09.26</t>
  </si>
  <si>
    <t>A26061854
19.09.26</t>
  </si>
  <si>
    <t>HBDFX09821446</t>
  </si>
  <si>
    <t>S06082</t>
  </si>
  <si>
    <t>US YELLOW SOYABEAN</t>
  </si>
  <si>
    <t>9 con reach, msmu1262742 pend</t>
  </si>
  <si>
    <t>17.06.26
17.06.26</t>
  </si>
  <si>
    <t>pgc gdk 2 con
pbt 5 con</t>
  </si>
  <si>
    <t>097ILCS83USD0777</t>
  </si>
  <si>
    <t>pgc gdk 8 con
pgc gdk 6 con</t>
  </si>
  <si>
    <t>18.06.26
19.06.26</t>
  </si>
  <si>
    <t>ISDF0A126USD2028</t>
  </si>
  <si>
    <t>21.06.26</t>
  </si>
  <si>
    <t>(9)1</t>
  </si>
  <si>
    <t>Tej karan, rel req done, clean</t>
  </si>
  <si>
    <t>10.08.26</t>
  </si>
  <si>
    <t>220.734 (24.526)</t>
  </si>
  <si>
    <t>09.07.26</t>
  </si>
  <si>
    <t>OK, 25.05.26, do ok</t>
  </si>
  <si>
    <t>07.07.26</t>
  </si>
  <si>
    <t>OK 17.06.26, charges prepaid, do ok</t>
  </si>
  <si>
    <t>ok, do pend</t>
  </si>
  <si>
    <t>A26066489
24.09.26</t>
  </si>
  <si>
    <t>25.06.26</t>
  </si>
  <si>
    <t>A26068628
26.09.26</t>
  </si>
  <si>
    <t>ok, charges prepaid</t>
  </si>
  <si>
    <t>27.06.26</t>
  </si>
  <si>
    <t>SITGTXBR607008</t>
  </si>
  <si>
    <t>BLACK SOYBEANS (bags)</t>
  </si>
  <si>
    <t>CIT/PI/009/2026</t>
  </si>
  <si>
    <t>A26128089
06.09.26</t>
  </si>
  <si>
    <t>17.07.26</t>
  </si>
  <si>
    <t>20.06.26</t>
  </si>
  <si>
    <t>US SOYBEANS</t>
  </si>
  <si>
    <t>A26133344
13.09.26</t>
  </si>
  <si>
    <t>A26075011
02.10.26</t>
  </si>
  <si>
    <t>A26075088
02.10.26</t>
  </si>
  <si>
    <t>13.07.26</t>
  </si>
  <si>
    <t>29.06.26</t>
  </si>
  <si>
    <t>PGC GDK, PALTI DRYPORT</t>
  </si>
  <si>
    <t>duty ok, do ok</t>
  </si>
  <si>
    <t>PBT 6 CON
pbt 3 con</t>
  </si>
  <si>
    <t>30.06.26
02.07.26</t>
  </si>
  <si>
    <t>D002su0504</t>
  </si>
  <si>
    <t>19.08.26</t>
  </si>
  <si>
    <t>ok, 03.07.26</t>
  </si>
  <si>
    <t>PBT 2 CON
PBT7 CON
pbt 2 con</t>
  </si>
  <si>
    <t>03.07.26
04.07.26
05.07.26</t>
  </si>
  <si>
    <t>A26079217
06.10.26</t>
  </si>
  <si>
    <t>A26078243
06.10.26</t>
  </si>
  <si>
    <t>09.8.26</t>
  </si>
  <si>
    <t>25.08.26</t>
  </si>
  <si>
    <t>ok, 02.07.26, do ok</t>
  </si>
  <si>
    <t>ok 06.07.26</t>
  </si>
  <si>
    <t>18.07.26</t>
  </si>
  <si>
    <t>06.07.26</t>
  </si>
  <si>
    <t>19.07.26</t>
  </si>
  <si>
    <t>27.07.26</t>
  </si>
  <si>
    <t>15.08.26</t>
  </si>
  <si>
    <t>12.07.26</t>
  </si>
  <si>
    <t>10.07.26</t>
  </si>
  <si>
    <t>pgc gdk 5 con
pgc gdk 5 con</t>
  </si>
  <si>
    <t>10.07.26
12.07.26</t>
  </si>
  <si>
    <t>AWAD 3 CON
awadh 4 con
awadh 5 con</t>
  </si>
  <si>
    <t>09.07.26
10.07.26
11.07.26</t>
  </si>
  <si>
    <t>23.07.26</t>
  </si>
  <si>
    <t>ok, 10.07.26</t>
  </si>
  <si>
    <t>A26084858
14.10.26</t>
  </si>
  <si>
    <t>A26086940
16.10.26</t>
  </si>
  <si>
    <t>rohit</t>
  </si>
  <si>
    <t>11.07.26</t>
  </si>
  <si>
    <t>SO14220</t>
  </si>
  <si>
    <t>14.07.26</t>
  </si>
  <si>
    <t>A26079208
07.10.26</t>
  </si>
  <si>
    <t>SITU2488756, SITU2504245</t>
  </si>
  <si>
    <t>03.08.26</t>
  </si>
  <si>
    <t>EB0011FOU05618</t>
  </si>
  <si>
    <t>VARIOUS VITAMIN</t>
  </si>
  <si>
    <t>TALTLS03091747, TRANS ASIA LINE</t>
  </si>
  <si>
    <t>ok 15.07.26</t>
  </si>
  <si>
    <t>16.07.26</t>
  </si>
  <si>
    <t>A26091154
21.10.26</t>
  </si>
  <si>
    <t>YELLOW SOYABEAN</t>
  </si>
  <si>
    <t>A26134167
14.09.26</t>
  </si>
  <si>
    <t>01.08.26</t>
  </si>
  <si>
    <t>S20201</t>
  </si>
  <si>
    <t>09.08.26</t>
  </si>
  <si>
    <t>05.09.26</t>
  </si>
  <si>
    <t>S20200</t>
  </si>
  <si>
    <t>A26107679
10.08.26</t>
  </si>
  <si>
    <t>PBT 11 CON
pbt 8 con
pbt 13 con
pbt 8 con</t>
  </si>
  <si>
    <t>14.07.26
15.07.26
19.07.26
20.07.26</t>
  </si>
  <si>
    <t>05.08.26</t>
  </si>
  <si>
    <t>A26092251
23.10.26</t>
  </si>
  <si>
    <t>21.07.26</t>
  </si>
  <si>
    <t>AUSTRALIA EXPORT IMPORT</t>
  </si>
  <si>
    <t>02.08.26</t>
  </si>
  <si>
    <t>20.08.26</t>
  </si>
  <si>
    <t>24.07.26</t>
  </si>
  <si>
    <t>04.08.26</t>
  </si>
  <si>
    <t>FLETCHER INT EXPORTS PTY LTD</t>
  </si>
  <si>
    <t>097ILCS83USD0850</t>
  </si>
  <si>
    <t>C0272531</t>
  </si>
  <si>
    <t>MEDUGR896812</t>
  </si>
  <si>
    <t>03.09.26</t>
  </si>
  <si>
    <t>25.09.26</t>
  </si>
  <si>
    <t>31.07.26</t>
  </si>
  <si>
    <t>tej karan, charge pend</t>
  </si>
  <si>
    <t xml:space="preserve">C0272613 </t>
  </si>
  <si>
    <t>22.08.26</t>
  </si>
  <si>
    <t>A26142529
26.09.26</t>
  </si>
  <si>
    <t xml:space="preserve">02621P45458283                                                      </t>
  </si>
  <si>
    <t>9 con reach, damage msmu1262742, new MSBU7027222 pend</t>
  </si>
  <si>
    <t>ISDF0A126USD2552</t>
  </si>
  <si>
    <t xml:space="preserve">MT05327 </t>
  </si>
  <si>
    <t>MEDUGR896820</t>
  </si>
  <si>
    <t>pbt 4 con
pbt 7 con
pbt 5 con
pbt 7 con</t>
  </si>
  <si>
    <t>23.07.26
24.07.26
26.07.26
27.07.26</t>
  </si>
  <si>
    <t>pbt 10 con
pbt 10 con</t>
  </si>
  <si>
    <t>27.07.26
28.07.26</t>
  </si>
  <si>
    <t>ISDF0A126USD2631</t>
  </si>
  <si>
    <t>28.07.26</t>
  </si>
  <si>
    <t>29.07.26</t>
  </si>
  <si>
    <t>11.08.26</t>
  </si>
  <si>
    <t>16.08.26</t>
  </si>
  <si>
    <t>097ILCS83USD0816</t>
  </si>
  <si>
    <t>ok 29.07.26</t>
  </si>
  <si>
    <t>30.09.26</t>
  </si>
  <si>
    <t>awad 4 con
awad 6 con
awad 3 c</t>
  </si>
  <si>
    <t>30.07.26
31.07.26
01.08.26</t>
  </si>
  <si>
    <t>A8610</t>
  </si>
  <si>
    <t>23.08.26</t>
  </si>
  <si>
    <t>PBT 5 con
pbt 4 c
pbt 4 c
pbt 3 c</t>
  </si>
  <si>
    <t>29.07.26
30.07.26
01.08.26
2.08.26</t>
  </si>
  <si>
    <t>ok, 03.08.26</t>
  </si>
  <si>
    <t>07.08.26</t>
  </si>
  <si>
    <t>PROCHEM INTRANSIT CONSIGNMENT DETAILS</t>
  </si>
  <si>
    <t>006IMFLC261092</t>
  </si>
  <si>
    <t>URMPL/73749/2025-26</t>
  </si>
  <si>
    <t>EGYPT</t>
  </si>
  <si>
    <t>MINERAL TURPENTINE OIL</t>
  </si>
  <si>
    <t>21.08.26</t>
  </si>
  <si>
    <t>ok, 04.08.26</t>
  </si>
  <si>
    <t>ISDF0A126USD2720</t>
  </si>
  <si>
    <t>kamlasati 4 c
k 4 c
kam 5 c
kam 5 c
kam 5 c</t>
  </si>
  <si>
    <t>29.07.26
30.07.26
01.08.26
02.08.26
04.08.26</t>
  </si>
  <si>
    <t>TLXU3002269</t>
  </si>
  <si>
    <t xml:space="preserve">02621P44738283                                                      </t>
  </si>
  <si>
    <t>A26157080
15.10.26</t>
  </si>
  <si>
    <t>SAHODAR ENTERPRISES</t>
  </si>
  <si>
    <t>SN04/25-26</t>
  </si>
  <si>
    <t xml:space="preserve">SOYABEAN MEAL </t>
  </si>
  <si>
    <t>BANGLABANDH</t>
  </si>
  <si>
    <t>SN02/25-26</t>
  </si>
  <si>
    <t>A26167961
29.10.26</t>
  </si>
  <si>
    <t>A26166778
27.10.26</t>
  </si>
  <si>
    <t>DELTA AGROFOOD IND. LTD</t>
  </si>
  <si>
    <t>SONARGAON SEEDS CRUSHING MILLS LTD</t>
  </si>
  <si>
    <t>SSCML/144/2026</t>
  </si>
  <si>
    <t>TRUCK</t>
  </si>
  <si>
    <t>SSCML/145/2026</t>
  </si>
  <si>
    <t>SSCML/146/2026</t>
  </si>
  <si>
    <t>A26153840
12.10.26</t>
  </si>
  <si>
    <t>A26153837
12.10.26</t>
  </si>
  <si>
    <t>A26153831
12.10.26</t>
  </si>
  <si>
    <t>A26161869
22.10.26</t>
  </si>
  <si>
    <t>06.08.26</t>
  </si>
  <si>
    <t>pbt 12 con
pbt 8 con</t>
  </si>
  <si>
    <t>05.08.26
06.08.26</t>
  </si>
  <si>
    <t>HBDFX09821558</t>
  </si>
  <si>
    <t>03.07.26</t>
  </si>
  <si>
    <t>PS06275</t>
  </si>
  <si>
    <t>A26103760
07.11.26</t>
  </si>
  <si>
    <t>ARYA PULSES AUSTRALIA PTY LTD.</t>
  </si>
  <si>
    <t>DDTTS-1187</t>
  </si>
  <si>
    <t>MT05382</t>
  </si>
  <si>
    <t>SUN IMPEX INTERNATIONAL FOODS FZE</t>
  </si>
  <si>
    <t>J207/SNPX/2026</t>
  </si>
  <si>
    <t>APA1036</t>
  </si>
  <si>
    <t>DAP MACHAPUCHHARE</t>
  </si>
  <si>
    <t>A26158230
17.10.26</t>
  </si>
  <si>
    <t>A26145600
30.09.26</t>
  </si>
  <si>
    <t>ROBINSON GRAIN TRADING CO PTY LTD</t>
  </si>
  <si>
    <t>E002su0025</t>
  </si>
  <si>
    <t>HBDFX09830109</t>
  </si>
  <si>
    <t>PBT 4 con
pbt 4 con
PBT2 CON</t>
  </si>
  <si>
    <t>08.08.26
09.8.26
10.08.26</t>
  </si>
  <si>
    <t>PBT 19 CON</t>
  </si>
  <si>
    <t>24.08.26</t>
  </si>
  <si>
    <t>A26164819
25.10.26</t>
  </si>
  <si>
    <t xml:space="preserve">02621P02708384                                                       </t>
  </si>
  <si>
    <t>SSCML/250/2026</t>
  </si>
  <si>
    <t>DDTTS-1207</t>
  </si>
  <si>
    <t>LINYI FENGRUI PLANT PROTECTION ELECTRONIC EQUIP CO. LTD</t>
  </si>
  <si>
    <t>FRA-20260807</t>
  </si>
  <si>
    <t>17.08.26</t>
  </si>
  <si>
    <t>material not dispatched from china</t>
  </si>
  <si>
    <t>A26175499
06.11.26</t>
  </si>
  <si>
    <t>Nov/dec</t>
  </si>
  <si>
    <t>July/Aug</t>
  </si>
  <si>
    <t>14.08.26</t>
  </si>
  <si>
    <t>AUG</t>
  </si>
  <si>
    <t>SONARGAON SEEDS CRUSHING 
MILLS LTD</t>
  </si>
  <si>
    <t>JUNE</t>
  </si>
  <si>
    <t>13.08.26</t>
  </si>
  <si>
    <t>12.08.26</t>
  </si>
  <si>
    <t>SHREE SHYAM OLEO CHEMICAL</t>
  </si>
  <si>
    <t>IUDF01126INR3487</t>
  </si>
  <si>
    <t>PFI/EXP/17/26-27</t>
  </si>
  <si>
    <t>INV NO SSO/EXP/23/2627</t>
  </si>
  <si>
    <t>08.08.26</t>
  </si>
  <si>
    <t>REFINED GLYCERINE</t>
  </si>
  <si>
    <t>27.08.26</t>
  </si>
  <si>
    <t>KENYA</t>
  </si>
  <si>
    <t>pbt 10 con
pbt 9 con</t>
  </si>
  <si>
    <t>12.08.26
14.08.26</t>
  </si>
  <si>
    <t>PGC GDK 5 C
pgc gdk 5 con</t>
  </si>
  <si>
    <t>13.08.26
14.08.26</t>
  </si>
  <si>
    <t>HBDFX09830140</t>
  </si>
  <si>
    <t>prochem</t>
  </si>
  <si>
    <t>06.09.26</t>
  </si>
  <si>
    <t>HLCUMTR260616918,
happag, viz BMOU1340199</t>
  </si>
  <si>
    <t>CFA0926986, CMA, cmau2522966</t>
  </si>
  <si>
    <t>18.08.26</t>
  </si>
  <si>
    <t>MEDUGG663438</t>
  </si>
  <si>
    <t>27.09.26</t>
  </si>
  <si>
    <t>11.10.26</t>
  </si>
  <si>
    <t>26.08.26</t>
  </si>
  <si>
    <t>GREEN MUNG BEAN,bags</t>
  </si>
  <si>
    <t>INDUSTRIAL TECHNICA PECUARIA S.A</t>
  </si>
  <si>
    <t>IUDF0A126USD3133</t>
  </si>
  <si>
    <t>25/06/2026</t>
  </si>
  <si>
    <t>MEDUOI590011</t>
  </si>
  <si>
    <t>FUNGICAP,OXICAP</t>
  </si>
  <si>
    <t>10.10.26</t>
  </si>
  <si>
    <t>IUDF0A126USD3132</t>
  </si>
  <si>
    <t>202605251-NP</t>
  </si>
  <si>
    <t>MEDUY5025638</t>
  </si>
  <si>
    <t>KEYTOX ULTRY, KEYTOX SELECT
GREENYEAST</t>
  </si>
  <si>
    <t>10.11.26</t>
  </si>
  <si>
    <t>01.09.26</t>
  </si>
  <si>
    <t>PBT 9 CON
pbt 6 con
pbt 4 con</t>
  </si>
  <si>
    <t>16.08.26
19.08.26
20.08.26</t>
  </si>
  <si>
    <t xml:space="preserve">02621P03758384                                                      </t>
  </si>
  <si>
    <t xml:space="preserve">02621P03808384                                                      </t>
  </si>
  <si>
    <t>006IMFLC2261713</t>
  </si>
  <si>
    <t>SSCML/233/2026</t>
  </si>
  <si>
    <t>A26169982
31.10.26</t>
  </si>
  <si>
    <t>A26181404
13.11.26</t>
  </si>
  <si>
    <t>MEDUGG688039</t>
  </si>
  <si>
    <t>pbt 7 con
pbt 7 con
PBT 6 CON</t>
  </si>
  <si>
    <t>21.08.26
23.08.26
24.08.26</t>
  </si>
  <si>
    <t>pbt 6 con
pbt 5 con
pgc gdk 5 con
pgc gdk 4 co</t>
  </si>
  <si>
    <t>21.08.26
22.08.26
23.08.26
24.08.26</t>
  </si>
  <si>
    <t>MEDUGR905811</t>
  </si>
  <si>
    <t>MEDUGG633043</t>
  </si>
  <si>
    <t>29.08.26</t>
  </si>
  <si>
    <t>ELG/RGN/CCU-1638/26,elan,tlpl</t>
  </si>
  <si>
    <t>A26179567
11.11.26</t>
  </si>
  <si>
    <t>18.09.26</t>
  </si>
  <si>
    <t>MEDUGR908369</t>
  </si>
  <si>
    <t>SC15537</t>
  </si>
  <si>
    <t>20.11.26</t>
  </si>
  <si>
    <t>20.10.26</t>
  </si>
  <si>
    <t>DUGAR</t>
  </si>
  <si>
    <t>30.08.26</t>
  </si>
  <si>
    <t>OK 17.08.26</t>
  </si>
  <si>
    <t>E002SU0080</t>
  </si>
  <si>
    <t>31.08.26</t>
  </si>
  <si>
    <t>02621P04238384</t>
  </si>
  <si>
    <t xml:space="preserve">006IMFLC261748 </t>
  </si>
  <si>
    <t>DAFIL/EXP/013/2026, prodip</t>
  </si>
  <si>
    <t>pbt 4 con
pgc gdk 4 con
shiv dal 5 con</t>
  </si>
  <si>
    <t>31.08.26
31.08.26
01.09.26</t>
  </si>
  <si>
    <t>release</t>
  </si>
  <si>
    <t xml:space="preserve">02621P04268384                                                       </t>
  </si>
  <si>
    <t>006IMFLC261789</t>
  </si>
  <si>
    <t>PRO37917</t>
  </si>
  <si>
    <t>A26120217
26.11.26</t>
  </si>
  <si>
    <t>A26125213
02.12.26</t>
  </si>
  <si>
    <t>A26125214
02.12.26</t>
  </si>
  <si>
    <t>006IMFLC261787</t>
  </si>
  <si>
    <t>M8613</t>
  </si>
  <si>
    <t>A26161867
22.10.26</t>
  </si>
  <si>
    <t>A26179611
11.11.26</t>
  </si>
  <si>
    <t>A26161072
21.10.26</t>
  </si>
  <si>
    <t>04.09.26</t>
  </si>
  <si>
    <t>17.09.26</t>
  </si>
  <si>
    <t>ok, 07.09.26</t>
  </si>
  <si>
    <t>A26126213
03.12.26</t>
  </si>
  <si>
    <t>PENDING, req sign</t>
  </si>
  <si>
    <t>15.09.26</t>
  </si>
  <si>
    <t>PENDING,caiu3583304</t>
  </si>
  <si>
    <t>006IMFLC261749,</t>
  </si>
  <si>
    <t>APA-PF-1009</t>
  </si>
  <si>
    <t>MEDUEZ568761</t>
  </si>
  <si>
    <t>02.09.26</t>
  </si>
  <si>
    <t>14.10.26</t>
  </si>
  <si>
    <t>A26173602
05.11.26</t>
  </si>
  <si>
    <t>M8708</t>
  </si>
  <si>
    <t>MRSU6358636
pend</t>
  </si>
  <si>
    <t>1(12)</t>
  </si>
  <si>
    <t>ok, 03.08.26, 12 reach 05.09.26</t>
  </si>
  <si>
    <t>312.044
(26.003)</t>
  </si>
  <si>
    <t>pbt 3 con
pbt 3 con
pgc gdk 3 con
pgc gdk3 con</t>
  </si>
  <si>
    <t>07.09.26
09.09.26
09.09.26
10.09.26</t>
  </si>
  <si>
    <t>pgc gdk 6 con
pgc gdk 6 con</t>
  </si>
  <si>
    <t>11.09.26
12.09.26</t>
  </si>
  <si>
    <t>20.09.26</t>
  </si>
  <si>
    <t>15.10.26</t>
  </si>
  <si>
    <t>09.10.26</t>
  </si>
  <si>
    <t>30.10.26</t>
  </si>
  <si>
    <t>25.10.26</t>
  </si>
  <si>
    <t>01.10.26</t>
  </si>
  <si>
    <t>A26129857
08.12.26</t>
  </si>
  <si>
    <t>A26135677
16.12.26</t>
  </si>
  <si>
    <t>A26135691
16.12.26</t>
  </si>
  <si>
    <t>A26135668
16.12.26</t>
  </si>
  <si>
    <t>03.10.26</t>
  </si>
  <si>
    <t>04.10.26</t>
  </si>
  <si>
    <t>HLCUMTR260830603,
 CON FCIU  6646940</t>
  </si>
  <si>
    <t>CANOLA GRAIN,45.1%</t>
  </si>
  <si>
    <t>CANOLA GRAIN, 47.1%</t>
  </si>
  <si>
    <t>14.09.26</t>
  </si>
  <si>
    <t>pris08</t>
  </si>
  <si>
    <t>16.09.26</t>
  </si>
  <si>
    <t>ok, 20.09.26</t>
  </si>
  <si>
    <t>TR-SO02</t>
  </si>
  <si>
    <t>19.09.26</t>
  </si>
  <si>
    <t>02.10.26</t>
  </si>
  <si>
    <t>126
147</t>
  </si>
  <si>
    <t>twbt01</t>
  </si>
  <si>
    <t>A26140051
22.12.26</t>
  </si>
  <si>
    <t>26.09.26</t>
  </si>
  <si>
    <t>j41h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</si>
</sst>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"/>
    <numFmt numFmtId="167" formatCode="[$-409]d\-mmm;@"/>
    <numFmt numFmtId="168" formatCode="[$-409]dd/mmm/yy;@"/>
    <numFmt numFmtId="169" formatCode="yyyy\-mm\-dd;@"/>
    <numFmt numFmtId="170" formatCode="mm/dd/yy;@"/>
    <numFmt numFmtId="171" formatCode="_(* #,##0.0_);_(* \(#,##0.0\);_(* &quot;-&quot;??_);_(@_)"/>
    <numFmt numFmtId="172" formatCode="0.0"/>
    <numFmt numFmtId="173" formatCode="_ * #,##0_ ;_ * \-#,##0_ ;_ * &quot;-&quot;??_ ;_ @_ "/>
    <numFmt numFmtId="174" formatCode="_ * #,##0.00_ ;_ * \-#,##0.00_ ;_ * &quot;-&quot;??_ ;_ @_ 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mbria"/>
      <family val="1"/>
    </font>
    <font>
      <sz val="10"/>
      <color rgb="FF000000"/>
      <name val="Arial"/>
      <family val="2"/>
    </font>
    <font>
      <b/>
      <sz val="10"/>
      <color theme="1"/>
      <name val="Courier New"/>
      <family val="3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9"/>
      <name val="Century"/>
      <family val="1"/>
    </font>
    <font>
      <sz val="9"/>
      <color rgb="FF101C45"/>
      <name val="Verdana"/>
      <family val="2"/>
    </font>
    <font>
      <sz val="12"/>
      <color rgb="FF000000"/>
      <name val="Calibri"/>
      <family val="2"/>
      <scheme val="minor"/>
    </font>
    <font>
      <sz val="10.5"/>
      <color theme="1"/>
      <name val="Century"/>
      <family val="1"/>
    </font>
    <font>
      <sz val="10.5"/>
      <name val="Century"/>
      <family val="1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12"/>
      <color rgb="FF222221"/>
      <name val="Arial"/>
      <family val="2"/>
    </font>
    <font>
      <sz val="11"/>
      <color rgb="FF222221"/>
      <name val="Arial"/>
      <family val="2"/>
    </font>
    <font>
      <sz val="11"/>
      <color rgb="FF222221"/>
      <name val="Century"/>
      <family val="1"/>
    </font>
    <font>
      <sz val="12"/>
      <color rgb="FF141414"/>
      <name val="Microsoft JhengHei"/>
      <family val="2"/>
    </font>
    <font>
      <sz val="11"/>
      <color rgb="FF141414"/>
      <name val="Microsoft JhengHei"/>
      <family val="2"/>
    </font>
    <font>
      <sz val="10"/>
      <color rgb="FF141414"/>
      <name val="Microsoft JhengHei"/>
      <family val="2"/>
    </font>
    <font>
      <sz val="11"/>
      <color rgb="FF202122"/>
      <name val="Arial"/>
      <family val="2"/>
    </font>
    <font>
      <sz val="9.5"/>
      <color theme="1"/>
      <name val="Calibri"/>
      <family val="2"/>
      <scheme val="minor"/>
    </font>
    <font>
      <sz val="11"/>
      <color rgb="FF22222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 Light"/>
      <family val="2"/>
    </font>
    <font>
      <sz val="11"/>
      <color rgb="FF1F497D"/>
      <name val="Calibri"/>
      <family val="2"/>
      <scheme val="minor"/>
    </font>
    <font>
      <sz val="11"/>
      <color rgb="FF222222"/>
      <name val="Calibri"/>
      <family val="2"/>
      <scheme val="minor"/>
    </font>
    <font>
      <sz val="10.5"/>
      <color rgb="FF333333"/>
      <name val="Arial"/>
      <family val="2"/>
    </font>
    <font>
      <sz val="11"/>
      <color rgb="FF000000"/>
      <name val="Malgun Gothic"/>
      <family val="2"/>
    </font>
    <font>
      <sz val="9"/>
      <color rgb="FF222222"/>
      <name val="Arial"/>
      <family val="2"/>
    </font>
    <font>
      <sz val="9"/>
      <color rgb="FF212529"/>
      <name val="Cambria"/>
      <family val="1"/>
    </font>
    <font>
      <sz val="11"/>
      <color rgb="FF000000"/>
      <name val="Arial"/>
      <family val="2"/>
    </font>
    <font>
      <sz val="12"/>
      <name val="Times New Roman"/>
      <family val="1"/>
    </font>
    <font>
      <sz val="12"/>
      <color rgb="FF141414"/>
      <name val="Calibri"/>
      <family val="2"/>
      <scheme val="minor"/>
    </font>
    <font>
      <sz val="11"/>
      <color rgb="FF000000"/>
      <name val="Arial Narrow"/>
      <family val="2"/>
    </font>
    <font>
      <b/>
      <sz val="10.5"/>
      <color rgb="FF052D3D"/>
      <name val="Lato"/>
      <family val="2"/>
    </font>
    <font>
      <sz val="11"/>
      <color rgb="FF000000"/>
      <name val="Courier New"/>
      <family val="3"/>
    </font>
    <font>
      <sz val="9.5"/>
      <color rgb="FF000000"/>
      <name val="Trebuchet MS"/>
      <family val="2"/>
    </font>
    <font>
      <sz val="9"/>
      <color rgb="FF000000"/>
      <name val="Arial"/>
      <family val="2"/>
    </font>
    <font>
      <sz val="10"/>
      <color rgb="FF101C45"/>
      <name val="Calibri"/>
      <family val="2"/>
      <scheme val="minor"/>
    </font>
    <font>
      <sz val="10"/>
      <color rgb="FF101010"/>
      <name val="Calibri"/>
      <family val="2"/>
      <scheme val="minor"/>
    </font>
    <font>
      <sz val="10"/>
      <color theme="1"/>
      <name val="Courier New"/>
      <family val="3"/>
    </font>
    <font>
      <b/>
      <sz val="11"/>
      <color rgb="FF20386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44546A"/>
      <name val="Calibri"/>
      <family val="2"/>
      <scheme val="minor"/>
    </font>
    <font>
      <sz val="10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1"/>
      <color theme="9" tint="-0.249977111117893"/>
      <name val="Times New Roman"/>
      <family val="1"/>
    </font>
    <font>
      <b/>
      <sz val="10"/>
      <color theme="9" tint="-0.249977111117893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9"/>
      <color theme="9" tint="-0.249977111117893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0"/>
      <color theme="1"/>
      <name val="Arial"/>
      <family val="2"/>
    </font>
    <font>
      <b/>
      <sz val="8"/>
      <color rgb="FF141414"/>
      <name val="Microsoft JhengHei"/>
      <family val="2"/>
    </font>
    <font>
      <b/>
      <sz val="9"/>
      <name val="Times New Roman"/>
      <family val="1"/>
    </font>
    <font>
      <b/>
      <sz val="8"/>
      <color rgb="FF000000"/>
      <name val="Calibri"/>
      <family val="2"/>
    </font>
    <font>
      <sz val="11"/>
      <name val="Aptos"/>
      <family val="2"/>
    </font>
    <font>
      <sz val="12"/>
      <color theme="1"/>
      <name val="Aptos"/>
      <family val="2"/>
    </font>
    <font>
      <sz val="10.5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0000"/>
      <name val="Aptos"/>
      <family val="2"/>
    </font>
    <font>
      <sz val="9.5"/>
      <color theme="1"/>
      <name val="Aptos"/>
      <family val="2"/>
    </font>
    <font>
      <b/>
      <sz val="10"/>
      <color theme="1"/>
      <name val="Calibri"/>
      <family val="2"/>
      <scheme val="minor"/>
    </font>
    <font>
      <sz val="10"/>
      <name val="Aptos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1F497D"/>
      <name val="Times New Roman"/>
      <family val="1"/>
    </font>
    <font>
      <sz val="11"/>
      <color theme="1"/>
      <name val="Aptos"/>
      <family val="2"/>
    </font>
    <font>
      <sz val="11"/>
      <color rgb="FF1F4E7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68" fillId="0" borderId="0"/>
    <xf numFmtId="0" fontId="34" fillId="0" borderId="0">
      <protection locked="0"/>
    </xf>
    <xf numFmtId="0" fontId="73" fillId="0" borderId="0" applyNumberFormat="0" applyFill="0" applyBorder="0" applyAlignment="0" applyProtection="0"/>
    <xf numFmtId="0" fontId="74" fillId="0" borderId="0"/>
    <xf numFmtId="0" fontId="75" fillId="0" borderId="0"/>
    <xf numFmtId="0" fontId="85" fillId="0" borderId="0"/>
  </cellStyleXfs>
  <cellXfs count="60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6" fillId="2" borderId="1" xfId="0" quotePrefix="1" applyFont="1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4" fontId="6" fillId="2" borderId="1" xfId="6" applyNumberFormat="1" applyFont="1" applyFill="1" applyBorder="1" applyAlignment="1">
      <alignment horizontal="center"/>
    </xf>
    <xf numFmtId="0" fontId="3" fillId="2" borderId="1" xfId="0" applyFont="1" applyFill="1" applyBorder="1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4" fontId="6" fillId="2" borderId="1" xfId="6" applyNumberFormat="1" applyFont="1" applyFill="1" applyBorder="1" applyAlignment="1"/>
    <xf numFmtId="0" fontId="0" fillId="2" borderId="1" xfId="0" quotePrefix="1" applyFill="1" applyBorder="1"/>
    <xf numFmtId="0" fontId="10" fillId="2" borderId="1" xfId="0" applyFont="1" applyFill="1" applyBorder="1"/>
    <xf numFmtId="0" fontId="12" fillId="2" borderId="1" xfId="0" applyFont="1" applyFill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6" fillId="2" borderId="1" xfId="0" applyFont="1" applyFill="1" applyBorder="1"/>
    <xf numFmtId="0" fontId="6" fillId="2" borderId="1" xfId="0" quotePrefix="1" applyFont="1" applyFill="1" applyBorder="1" applyAlignment="1">
      <alignment horizontal="left"/>
    </xf>
    <xf numFmtId="0" fontId="3" fillId="3" borderId="1" xfId="0" applyFont="1" applyFill="1" applyBorder="1"/>
    <xf numFmtId="164" fontId="0" fillId="2" borderId="1" xfId="6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6" fillId="2" borderId="1" xfId="0" quotePrefix="1" applyFont="1" applyFill="1" applyBorder="1" applyAlignment="1">
      <alignment vertical="center" wrapText="1"/>
    </xf>
    <xf numFmtId="0" fontId="0" fillId="3" borderId="1" xfId="0" applyFill="1" applyBorder="1"/>
    <xf numFmtId="0" fontId="13" fillId="0" borderId="1" xfId="0" applyFont="1" applyBorder="1"/>
    <xf numFmtId="164" fontId="0" fillId="2" borderId="1" xfId="6" applyNumberFormat="1" applyFont="1" applyFill="1" applyBorder="1" applyAlignment="1">
      <alignment horizontal="left"/>
    </xf>
    <xf numFmtId="43" fontId="0" fillId="2" borderId="1" xfId="6" applyFont="1" applyFill="1" applyBorder="1" applyAlignment="1">
      <alignment horizontal="center"/>
    </xf>
    <xf numFmtId="0" fontId="15" fillId="2" borderId="1" xfId="0" applyFont="1" applyFill="1" applyBorder="1" applyAlignment="1">
      <alignment vertical="center"/>
    </xf>
    <xf numFmtId="0" fontId="14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6" fillId="3" borderId="1" xfId="0" applyFont="1" applyFill="1" applyBorder="1"/>
    <xf numFmtId="0" fontId="16" fillId="0" borderId="1" xfId="0" applyFont="1" applyBorder="1"/>
    <xf numFmtId="164" fontId="1" fillId="2" borderId="1" xfId="6" applyNumberFormat="1" applyFont="1" applyFill="1" applyBorder="1" applyAlignment="1">
      <alignment horizontal="right"/>
    </xf>
    <xf numFmtId="43" fontId="6" fillId="2" borderId="1" xfId="6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17" fillId="0" borderId="1" xfId="0" applyFont="1" applyBorder="1"/>
    <xf numFmtId="0" fontId="18" fillId="0" borderId="0" xfId="0" applyFont="1"/>
    <xf numFmtId="0" fontId="11" fillId="3" borderId="1" xfId="0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0" fontId="19" fillId="0" borderId="1" xfId="0" applyFont="1" applyBorder="1"/>
    <xf numFmtId="0" fontId="20" fillId="0" borderId="1" xfId="0" applyFont="1" applyBorder="1"/>
    <xf numFmtId="165" fontId="1" fillId="2" borderId="1" xfId="6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/>
    <xf numFmtId="0" fontId="0" fillId="0" borderId="3" xfId="0" applyBorder="1"/>
    <xf numFmtId="0" fontId="21" fillId="0" borderId="1" xfId="0" applyFont="1" applyBorder="1"/>
    <xf numFmtId="166" fontId="6" fillId="2" borderId="1" xfId="0" applyNumberFormat="1" applyFont="1" applyFill="1" applyBorder="1"/>
    <xf numFmtId="43" fontId="22" fillId="2" borderId="1" xfId="6" applyFont="1" applyFill="1" applyBorder="1" applyAlignment="1">
      <alignment horizontal="center"/>
    </xf>
    <xf numFmtId="0" fontId="6" fillId="2" borderId="2" xfId="0" applyFont="1" applyFill="1" applyBorder="1"/>
    <xf numFmtId="164" fontId="6" fillId="2" borderId="1" xfId="6" applyNumberFormat="1" applyFont="1" applyFill="1" applyBorder="1" applyAlignment="1">
      <alignment horizontal="right"/>
    </xf>
    <xf numFmtId="165" fontId="6" fillId="2" borderId="1" xfId="6" applyNumberFormat="1" applyFont="1" applyFill="1" applyBorder="1" applyAlignment="1">
      <alignment horizontal="center"/>
    </xf>
    <xf numFmtId="165" fontId="0" fillId="2" borderId="1" xfId="6" applyNumberFormat="1" applyFont="1" applyFill="1" applyBorder="1" applyAlignment="1">
      <alignment horizontal="center"/>
    </xf>
    <xf numFmtId="0" fontId="23" fillId="2" borderId="1" xfId="0" applyFont="1" applyFill="1" applyBorder="1"/>
    <xf numFmtId="167" fontId="0" fillId="0" borderId="1" xfId="0" applyNumberFormat="1" applyBorder="1"/>
    <xf numFmtId="167" fontId="0" fillId="0" borderId="3" xfId="0" applyNumberFormat="1" applyBorder="1"/>
    <xf numFmtId="167" fontId="6" fillId="2" borderId="1" xfId="0" applyNumberFormat="1" applyFont="1" applyFill="1" applyBorder="1"/>
    <xf numFmtId="0" fontId="2" fillId="0" borderId="3" xfId="0" applyFont="1" applyBorder="1"/>
    <xf numFmtId="0" fontId="24" fillId="0" borderId="1" xfId="0" applyFont="1" applyBorder="1"/>
    <xf numFmtId="43" fontId="0" fillId="0" borderId="1" xfId="6" applyFont="1" applyBorder="1" applyAlignment="1">
      <alignment horizontal="center"/>
    </xf>
    <xf numFmtId="43" fontId="0" fillId="2" borderId="1" xfId="6" applyFont="1" applyFill="1" applyBorder="1" applyAlignment="1">
      <alignment horizontal="right"/>
    </xf>
    <xf numFmtId="0" fontId="25" fillId="2" borderId="1" xfId="0" applyFont="1" applyFill="1" applyBorder="1"/>
    <xf numFmtId="0" fontId="0" fillId="2" borderId="1" xfId="0" quotePrefix="1" applyFill="1" applyBorder="1" applyAlignment="1">
      <alignment horizontal="left"/>
    </xf>
    <xf numFmtId="164" fontId="0" fillId="2" borderId="1" xfId="6" applyNumberFormat="1" applyFont="1" applyFill="1" applyBorder="1" applyAlignment="1">
      <alignment horizontal="center"/>
    </xf>
    <xf numFmtId="0" fontId="27" fillId="2" borderId="1" xfId="0" applyFont="1" applyFill="1" applyBorder="1"/>
    <xf numFmtId="0" fontId="0" fillId="0" borderId="3" xfId="0" applyBorder="1" applyAlignment="1">
      <alignment horizontal="center"/>
    </xf>
    <xf numFmtId="0" fontId="28" fillId="0" borderId="1" xfId="0" applyFont="1" applyBorder="1"/>
    <xf numFmtId="43" fontId="6" fillId="2" borderId="1" xfId="6" applyFont="1" applyFill="1" applyBorder="1" applyAlignment="1">
      <alignment horizontal="center"/>
    </xf>
    <xf numFmtId="0" fontId="29" fillId="2" borderId="1" xfId="0" applyFont="1" applyFill="1" applyBorder="1"/>
    <xf numFmtId="0" fontId="0" fillId="0" borderId="4" xfId="0" applyBorder="1"/>
    <xf numFmtId="0" fontId="26" fillId="3" borderId="1" xfId="0" applyFont="1" applyFill="1" applyBorder="1"/>
    <xf numFmtId="0" fontId="0" fillId="2" borderId="2" xfId="0" applyFill="1" applyBorder="1"/>
    <xf numFmtId="0" fontId="4" fillId="0" borderId="0" xfId="0" applyFont="1" applyAlignment="1">
      <alignment horizontal="center"/>
    </xf>
    <xf numFmtId="0" fontId="30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2" borderId="5" xfId="0" applyFont="1" applyFill="1" applyBorder="1"/>
    <xf numFmtId="0" fontId="0" fillId="0" borderId="5" xfId="0" applyBorder="1"/>
    <xf numFmtId="168" fontId="33" fillId="2" borderId="1" xfId="0" applyNumberFormat="1" applyFont="1" applyFill="1" applyBorder="1" applyAlignment="1">
      <alignment vertical="center"/>
    </xf>
    <xf numFmtId="168" fontId="33" fillId="2" borderId="1" xfId="0" quotePrefix="1" applyNumberFormat="1" applyFont="1" applyFill="1" applyBorder="1" applyAlignment="1">
      <alignment vertical="center"/>
    </xf>
    <xf numFmtId="168" fontId="33" fillId="2" borderId="1" xfId="0" applyNumberFormat="1" applyFont="1" applyFill="1" applyBorder="1" applyAlignment="1">
      <alignment horizontal="left" vertical="center"/>
    </xf>
    <xf numFmtId="168" fontId="32" fillId="2" borderId="1" xfId="0" applyNumberFormat="1" applyFont="1" applyFill="1" applyBorder="1" applyAlignment="1">
      <alignment vertical="center"/>
    </xf>
    <xf numFmtId="168" fontId="32" fillId="2" borderId="1" xfId="0" quotePrefix="1" applyNumberFormat="1" applyFont="1" applyFill="1" applyBorder="1" applyAlignment="1">
      <alignment vertical="center"/>
    </xf>
    <xf numFmtId="169" fontId="33" fillId="2" borderId="1" xfId="0" applyNumberFormat="1" applyFont="1" applyFill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164" fontId="0" fillId="2" borderId="1" xfId="6" applyNumberFormat="1" applyFont="1" applyFill="1" applyBorder="1"/>
    <xf numFmtId="0" fontId="0" fillId="2" borderId="4" xfId="0" applyFill="1" applyBorder="1"/>
    <xf numFmtId="0" fontId="22" fillId="2" borderId="1" xfId="0" applyFont="1" applyFill="1" applyBorder="1"/>
    <xf numFmtId="0" fontId="34" fillId="0" borderId="6" xfId="0" applyFont="1" applyBorder="1" applyAlignment="1">
      <alignment horizontal="left" vertical="center"/>
    </xf>
    <xf numFmtId="170" fontId="33" fillId="2" borderId="1" xfId="0" applyNumberFormat="1" applyFon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6" fillId="2" borderId="1" xfId="0" applyNumberFormat="1" applyFont="1" applyFill="1" applyBorder="1" applyAlignment="1">
      <alignment horizontal="left"/>
    </xf>
    <xf numFmtId="14" fontId="0" fillId="2" borderId="1" xfId="0" applyNumberFormat="1" applyFill="1" applyBorder="1"/>
    <xf numFmtId="14" fontId="0" fillId="2" borderId="1" xfId="6" applyNumberFormat="1" applyFont="1" applyFill="1" applyBorder="1" applyAlignment="1">
      <alignment horizontal="left"/>
    </xf>
    <xf numFmtId="0" fontId="0" fillId="3" borderId="7" xfId="0" applyFill="1" applyBorder="1"/>
    <xf numFmtId="0" fontId="0" fillId="2" borderId="7" xfId="0" applyFill="1" applyBorder="1"/>
    <xf numFmtId="168" fontId="32" fillId="2" borderId="7" xfId="0" applyNumberFormat="1" applyFont="1" applyFill="1" applyBorder="1" applyAlignment="1">
      <alignment vertical="center"/>
    </xf>
    <xf numFmtId="0" fontId="0" fillId="2" borderId="7" xfId="0" applyFill="1" applyBorder="1" applyAlignment="1">
      <alignment horizontal="left"/>
    </xf>
    <xf numFmtId="168" fontId="33" fillId="2" borderId="7" xfId="0" applyNumberFormat="1" applyFont="1" applyFill="1" applyBorder="1" applyAlignment="1">
      <alignment horizontal="left" vertical="center"/>
    </xf>
    <xf numFmtId="0" fontId="6" fillId="2" borderId="7" xfId="0" applyFont="1" applyFill="1" applyBorder="1"/>
    <xf numFmtId="0" fontId="0" fillId="2" borderId="7" xfId="0" applyFill="1" applyBorder="1" applyAlignment="1">
      <alignment horizontal="center"/>
    </xf>
    <xf numFmtId="169" fontId="33" fillId="2" borderId="7" xfId="0" applyNumberFormat="1" applyFont="1" applyFill="1" applyBorder="1" applyAlignment="1">
      <alignment horizontal="left" vertical="center"/>
    </xf>
    <xf numFmtId="0" fontId="16" fillId="2" borderId="1" xfId="0" applyFont="1" applyFill="1" applyBorder="1"/>
    <xf numFmtId="14" fontId="15" fillId="0" borderId="0" xfId="0" applyNumberFormat="1" applyFont="1" applyAlignment="1">
      <alignment vertical="center"/>
    </xf>
    <xf numFmtId="14" fontId="34" fillId="0" borderId="0" xfId="0" applyNumberFormat="1" applyFont="1" applyAlignment="1">
      <alignment horizontal="left" vertical="center"/>
    </xf>
    <xf numFmtId="14" fontId="0" fillId="2" borderId="7" xfId="0" applyNumberFormat="1" applyFill="1" applyBorder="1"/>
    <xf numFmtId="165" fontId="6" fillId="2" borderId="1" xfId="6" applyNumberFormat="1" applyFont="1" applyFill="1" applyBorder="1"/>
    <xf numFmtId="14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2" borderId="7" xfId="0" quotePrefix="1" applyFill="1" applyBorder="1" applyAlignment="1">
      <alignment horizontal="left"/>
    </xf>
    <xf numFmtId="0" fontId="0" fillId="0" borderId="10" xfId="0" applyBorder="1"/>
    <xf numFmtId="0" fontId="0" fillId="2" borderId="11" xfId="0" applyFill="1" applyBorder="1"/>
    <xf numFmtId="0" fontId="0" fillId="0" borderId="12" xfId="0" applyBorder="1"/>
    <xf numFmtId="0" fontId="0" fillId="2" borderId="13" xfId="0" applyFill="1" applyBorder="1"/>
    <xf numFmtId="164" fontId="0" fillId="2" borderId="1" xfId="6" applyNumberFormat="1" applyFont="1" applyFill="1" applyBorder="1" applyAlignment="1"/>
    <xf numFmtId="164" fontId="0" fillId="2" borderId="1" xfId="6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35" fillId="2" borderId="1" xfId="0" applyFont="1" applyFill="1" applyBorder="1"/>
    <xf numFmtId="0" fontId="10" fillId="2" borderId="1" xfId="0" applyFont="1" applyFill="1" applyBorder="1" applyAlignment="1">
      <alignment horizontal="left"/>
    </xf>
    <xf numFmtId="0" fontId="0" fillId="0" borderId="7" xfId="0" applyBorder="1"/>
    <xf numFmtId="168" fontId="33" fillId="2" borderId="1" xfId="0" applyNumberFormat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vertical="center"/>
    </xf>
    <xf numFmtId="0" fontId="37" fillId="0" borderId="1" xfId="0" applyFont="1" applyBorder="1"/>
    <xf numFmtId="0" fontId="40" fillId="0" borderId="1" xfId="0" applyFont="1" applyBorder="1"/>
    <xf numFmtId="0" fontId="41" fillId="0" borderId="0" xfId="0" applyFont="1"/>
    <xf numFmtId="0" fontId="38" fillId="0" borderId="1" xfId="0" applyFont="1" applyBorder="1"/>
    <xf numFmtId="0" fontId="36" fillId="0" borderId="1" xfId="0" applyFont="1" applyBorder="1"/>
    <xf numFmtId="0" fontId="39" fillId="0" borderId="1" xfId="0" applyFont="1" applyBorder="1"/>
    <xf numFmtId="0" fontId="41" fillId="0" borderId="1" xfId="0" applyFont="1" applyBorder="1"/>
    <xf numFmtId="0" fontId="10" fillId="3" borderId="1" xfId="0" applyFont="1" applyFill="1" applyBorder="1"/>
    <xf numFmtId="0" fontId="40" fillId="2" borderId="1" xfId="0" applyFont="1" applyFill="1" applyBorder="1"/>
    <xf numFmtId="14" fontId="0" fillId="0" borderId="0" xfId="0" applyNumberFormat="1"/>
    <xf numFmtId="14" fontId="0" fillId="0" borderId="2" xfId="0" applyNumberFormat="1" applyBorder="1"/>
    <xf numFmtId="14" fontId="0" fillId="2" borderId="2" xfId="0" applyNumberFormat="1" applyFill="1" applyBorder="1"/>
    <xf numFmtId="165" fontId="0" fillId="0" borderId="1" xfId="6" applyNumberFormat="1" applyFont="1" applyBorder="1" applyAlignment="1">
      <alignment horizontal="center"/>
    </xf>
    <xf numFmtId="0" fontId="44" fillId="0" borderId="0" xfId="0" applyFont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1" xfId="0" applyFill="1" applyBorder="1"/>
    <xf numFmtId="0" fontId="40" fillId="0" borderId="7" xfId="0" applyFont="1" applyBorder="1"/>
    <xf numFmtId="0" fontId="7" fillId="2" borderId="7" xfId="0" applyFont="1" applyFill="1" applyBorder="1"/>
    <xf numFmtId="43" fontId="6" fillId="2" borderId="7" xfId="6" applyFont="1" applyFill="1" applyBorder="1" applyAlignment="1">
      <alignment horizontal="center"/>
    </xf>
    <xf numFmtId="14" fontId="0" fillId="0" borderId="7" xfId="0" applyNumberFormat="1" applyBorder="1"/>
    <xf numFmtId="0" fontId="0" fillId="4" borderId="1" xfId="0" quotePrefix="1" applyFill="1" applyBorder="1"/>
    <xf numFmtId="165" fontId="0" fillId="0" borderId="1" xfId="0" applyNumberFormat="1" applyBorder="1"/>
    <xf numFmtId="0" fontId="10" fillId="3" borderId="1" xfId="0" applyFont="1" applyFill="1" applyBorder="1" applyAlignment="1">
      <alignment horizontal="left"/>
    </xf>
    <xf numFmtId="0" fontId="0" fillId="5" borderId="1" xfId="0" applyFill="1" applyBorder="1"/>
    <xf numFmtId="14" fontId="6" fillId="2" borderId="1" xfId="0" applyNumberFormat="1" applyFont="1" applyFill="1" applyBorder="1"/>
    <xf numFmtId="0" fontId="0" fillId="4" borderId="1" xfId="0" applyFill="1" applyBorder="1" applyAlignment="1">
      <alignment horizontal="center"/>
    </xf>
    <xf numFmtId="14" fontId="6" fillId="2" borderId="2" xfId="0" applyNumberFormat="1" applyFont="1" applyFill="1" applyBorder="1"/>
    <xf numFmtId="14" fontId="0" fillId="0" borderId="1" xfId="0" applyNumberFormat="1" applyBorder="1" applyAlignment="1">
      <alignment horizontal="right"/>
    </xf>
    <xf numFmtId="14" fontId="45" fillId="0" borderId="1" xfId="0" applyNumberFormat="1" applyFont="1" applyBorder="1" applyAlignment="1">
      <alignment horizontal="left"/>
    </xf>
    <xf numFmtId="16" fontId="0" fillId="0" borderId="0" xfId="0" applyNumberFormat="1"/>
    <xf numFmtId="0" fontId="46" fillId="0" borderId="0" xfId="0" applyFont="1"/>
    <xf numFmtId="0" fontId="42" fillId="0" borderId="7" xfId="0" applyFont="1" applyBorder="1"/>
    <xf numFmtId="0" fontId="15" fillId="0" borderId="7" xfId="0" applyFont="1" applyBorder="1" applyAlignment="1">
      <alignment vertical="center"/>
    </xf>
    <xf numFmtId="0" fontId="31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" xfId="0" quotePrefix="1" applyBorder="1" applyAlignment="1">
      <alignment horizontal="left"/>
    </xf>
    <xf numFmtId="14" fontId="0" fillId="2" borderId="0" xfId="0" applyNumberFormat="1" applyFill="1" applyAlignment="1">
      <alignment horizontal="left"/>
    </xf>
    <xf numFmtId="14" fontId="0" fillId="0" borderId="7" xfId="0" applyNumberFormat="1" applyBorder="1" applyAlignment="1">
      <alignment horizontal="left"/>
    </xf>
    <xf numFmtId="0" fontId="2" fillId="0" borderId="0" xfId="0" applyFont="1"/>
    <xf numFmtId="14" fontId="0" fillId="2" borderId="1" xfId="0" applyNumberFormat="1" applyFill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43" fillId="0" borderId="0" xfId="0" quotePrefix="1" applyFont="1" applyAlignment="1">
      <alignment horizontal="left"/>
    </xf>
    <xf numFmtId="0" fontId="0" fillId="2" borderId="2" xfId="0" applyFill="1" applyBorder="1" applyAlignment="1">
      <alignment horizontal="right"/>
    </xf>
    <xf numFmtId="0" fontId="7" fillId="3" borderId="1" xfId="0" applyFont="1" applyFill="1" applyBorder="1"/>
    <xf numFmtId="14" fontId="47" fillId="0" borderId="7" xfId="0" applyNumberFormat="1" applyFont="1" applyBorder="1" applyAlignment="1">
      <alignment horizontal="left"/>
    </xf>
    <xf numFmtId="0" fontId="0" fillId="2" borderId="1" xfId="0" applyFill="1" applyBorder="1" applyAlignment="1">
      <alignment wrapText="1"/>
    </xf>
    <xf numFmtId="0" fontId="6" fillId="2" borderId="1" xfId="0" quotePrefix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/>
    </xf>
    <xf numFmtId="0" fontId="18" fillId="0" borderId="1" xfId="0" applyFont="1" applyBorder="1"/>
    <xf numFmtId="0" fontId="19" fillId="2" borderId="1" xfId="0" applyFont="1" applyFill="1" applyBorder="1"/>
    <xf numFmtId="0" fontId="11" fillId="2" borderId="1" xfId="0" applyFont="1" applyFill="1" applyBorder="1" applyAlignment="1">
      <alignment vertical="center"/>
    </xf>
    <xf numFmtId="43" fontId="0" fillId="2" borderId="1" xfId="6" applyFont="1" applyFill="1" applyBorder="1" applyAlignment="1"/>
    <xf numFmtId="164" fontId="1" fillId="2" borderId="1" xfId="6" applyNumberFormat="1" applyFont="1" applyFill="1" applyBorder="1" applyAlignment="1"/>
    <xf numFmtId="43" fontId="22" fillId="2" borderId="1" xfId="6" applyFont="1" applyFill="1" applyBorder="1" applyAlignment="1"/>
    <xf numFmtId="165" fontId="6" fillId="2" borderId="1" xfId="6" applyNumberFormat="1" applyFont="1" applyFill="1" applyBorder="1" applyAlignment="1"/>
    <xf numFmtId="165" fontId="1" fillId="2" borderId="1" xfId="6" applyNumberFormat="1" applyFont="1" applyFill="1" applyBorder="1" applyAlignment="1"/>
    <xf numFmtId="43" fontId="6" fillId="2" borderId="1" xfId="6" applyFont="1" applyFill="1" applyBorder="1" applyAlignment="1"/>
    <xf numFmtId="165" fontId="0" fillId="2" borderId="1" xfId="6" applyNumberFormat="1" applyFont="1" applyFill="1" applyBorder="1" applyAlignment="1"/>
    <xf numFmtId="0" fontId="3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26" fillId="2" borderId="1" xfId="0" applyFont="1" applyFill="1" applyBorder="1"/>
    <xf numFmtId="0" fontId="34" fillId="0" borderId="1" xfId="0" applyFont="1" applyBorder="1" applyAlignment="1">
      <alignment horizontal="left" vertical="center"/>
    </xf>
    <xf numFmtId="0" fontId="30" fillId="2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center"/>
    </xf>
    <xf numFmtId="168" fontId="32" fillId="2" borderId="1" xfId="0" applyNumberFormat="1" applyFont="1" applyFill="1" applyBorder="1" applyAlignment="1">
      <alignment horizontal="left" vertical="center"/>
    </xf>
    <xf numFmtId="0" fontId="36" fillId="0" borderId="1" xfId="0" applyFont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27" fillId="2" borderId="1" xfId="0" applyFont="1" applyFill="1" applyBorder="1" applyAlignment="1">
      <alignment horizontal="left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168" fontId="32" fillId="2" borderId="1" xfId="0" quotePrefix="1" applyNumberFormat="1" applyFont="1" applyFill="1" applyBorder="1" applyAlignment="1">
      <alignment horizontal="left" vertical="center"/>
    </xf>
    <xf numFmtId="0" fontId="3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24" fillId="2" borderId="1" xfId="0" applyFont="1" applyFill="1" applyBorder="1" applyAlignment="1">
      <alignment horizontal="left"/>
    </xf>
    <xf numFmtId="3" fontId="0" fillId="0" borderId="1" xfId="0" applyNumberFormat="1" applyBorder="1"/>
    <xf numFmtId="0" fontId="29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center"/>
    </xf>
    <xf numFmtId="0" fontId="46" fillId="0" borderId="1" xfId="0" applyFont="1" applyBorder="1"/>
    <xf numFmtId="0" fontId="38" fillId="0" borderId="1" xfId="0" applyFont="1" applyBorder="1" applyAlignment="1">
      <alignment horizontal="center"/>
    </xf>
    <xf numFmtId="0" fontId="43" fillId="0" borderId="1" xfId="0" quotePrefix="1" applyFont="1" applyBorder="1" applyAlignment="1">
      <alignment horizontal="left"/>
    </xf>
    <xf numFmtId="16" fontId="0" fillId="0" borderId="1" xfId="0" applyNumberFormat="1" applyBorder="1"/>
    <xf numFmtId="0" fontId="31" fillId="0" borderId="1" xfId="0" applyFont="1" applyBorder="1" applyAlignment="1">
      <alignment horizontal="left"/>
    </xf>
    <xf numFmtId="0" fontId="15" fillId="2" borderId="1" xfId="0" applyFont="1" applyFill="1" applyBorder="1" applyAlignment="1">
      <alignment horizontal="left" vertical="center"/>
    </xf>
    <xf numFmtId="0" fontId="42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14" fontId="47" fillId="0" borderId="1" xfId="0" applyNumberFormat="1" applyFont="1" applyBorder="1" applyAlignment="1">
      <alignment horizontal="left"/>
    </xf>
    <xf numFmtId="165" fontId="0" fillId="2" borderId="1" xfId="6" applyNumberFormat="1" applyFont="1" applyFill="1" applyBorder="1" applyAlignment="1">
      <alignment horizontal="right"/>
    </xf>
    <xf numFmtId="0" fontId="0" fillId="0" borderId="1" xfId="0" applyBorder="1" applyAlignment="1">
      <alignment vertical="center"/>
    </xf>
    <xf numFmtId="43" fontId="0" fillId="0" borderId="1" xfId="0" applyNumberFormat="1" applyBorder="1" applyAlignment="1">
      <alignment horizontal="left"/>
    </xf>
    <xf numFmtId="43" fontId="0" fillId="2" borderId="1" xfId="6" applyFont="1" applyFill="1" applyBorder="1"/>
    <xf numFmtId="0" fontId="10" fillId="2" borderId="1" xfId="0" applyFont="1" applyFill="1" applyBorder="1" applyAlignment="1">
      <alignment horizontal="left" vertical="center"/>
    </xf>
    <xf numFmtId="169" fontId="0" fillId="2" borderId="1" xfId="0" quotePrefix="1" applyNumberFormat="1" applyFill="1" applyBorder="1" applyAlignment="1">
      <alignment horizontal="left"/>
    </xf>
    <xf numFmtId="0" fontId="24" fillId="2" borderId="1" xfId="0" applyFont="1" applyFill="1" applyBorder="1"/>
    <xf numFmtId="0" fontId="48" fillId="0" borderId="1" xfId="0" applyFont="1" applyBorder="1" applyAlignment="1">
      <alignment vertical="center"/>
    </xf>
    <xf numFmtId="0" fontId="0" fillId="0" borderId="14" xfId="0" applyBorder="1" applyAlignment="1">
      <alignment horizontal="center"/>
    </xf>
    <xf numFmtId="0" fontId="35" fillId="3" borderId="1" xfId="0" applyFont="1" applyFill="1" applyBorder="1"/>
    <xf numFmtId="0" fontId="0" fillId="3" borderId="14" xfId="0" applyFill="1" applyBorder="1"/>
    <xf numFmtId="0" fontId="6" fillId="2" borderId="14" xfId="0" applyFont="1" applyFill="1" applyBorder="1" applyAlignment="1">
      <alignment horizontal="left"/>
    </xf>
    <xf numFmtId="0" fontId="0" fillId="0" borderId="14" xfId="0" applyBorder="1"/>
    <xf numFmtId="0" fontId="0" fillId="2" borderId="14" xfId="0" applyFill="1" applyBorder="1"/>
    <xf numFmtId="14" fontId="0" fillId="0" borderId="14" xfId="0" applyNumberFormat="1" applyBorder="1"/>
    <xf numFmtId="0" fontId="0" fillId="2" borderId="14" xfId="0" applyFill="1" applyBorder="1" applyAlignment="1">
      <alignment horizontal="left"/>
    </xf>
    <xf numFmtId="0" fontId="6" fillId="2" borderId="14" xfId="0" applyFont="1" applyFill="1" applyBorder="1"/>
    <xf numFmtId="14" fontId="0" fillId="0" borderId="1" xfId="0" applyNumberFormat="1" applyBorder="1" applyAlignment="1">
      <alignment wrapText="1"/>
    </xf>
    <xf numFmtId="0" fontId="0" fillId="0" borderId="0" xfId="0" applyAlignment="1">
      <alignment horizontal="left"/>
    </xf>
    <xf numFmtId="0" fontId="10" fillId="3" borderId="7" xfId="0" applyFont="1" applyFill="1" applyBorder="1"/>
    <xf numFmtId="14" fontId="0" fillId="2" borderId="1" xfId="6" applyNumberFormat="1" applyFont="1" applyFill="1" applyBorder="1" applyAlignment="1">
      <alignment horizontal="right"/>
    </xf>
    <xf numFmtId="14" fontId="0" fillId="2" borderId="1" xfId="0" quotePrefix="1" applyNumberFormat="1" applyFill="1" applyBorder="1" applyAlignment="1">
      <alignment horizontal="left"/>
    </xf>
    <xf numFmtId="0" fontId="49" fillId="0" borderId="1" xfId="0" applyFont="1" applyBorder="1"/>
    <xf numFmtId="0" fontId="1" fillId="2" borderId="1" xfId="4" applyFill="1" applyBorder="1"/>
    <xf numFmtId="43" fontId="0" fillId="2" borderId="7" xfId="6" applyFont="1" applyFill="1" applyBorder="1" applyAlignment="1"/>
    <xf numFmtId="43" fontId="0" fillId="2" borderId="14" xfId="6" applyFont="1" applyFill="1" applyBorder="1" applyAlignment="1"/>
    <xf numFmtId="0" fontId="0" fillId="0" borderId="1" xfId="0" applyBorder="1" applyAlignment="1">
      <alignment horizontal="right" wrapText="1"/>
    </xf>
    <xf numFmtId="0" fontId="3" fillId="2" borderId="1" xfId="0" quotePrefix="1" applyFont="1" applyFill="1" applyBorder="1"/>
    <xf numFmtId="164" fontId="0" fillId="0" borderId="1" xfId="6" applyNumberFormat="1" applyFont="1" applyBorder="1"/>
    <xf numFmtId="0" fontId="6" fillId="0" borderId="1" xfId="0" applyFont="1" applyBorder="1"/>
    <xf numFmtId="0" fontId="50" fillId="0" borderId="1" xfId="0" applyFont="1" applyBorder="1"/>
    <xf numFmtId="0" fontId="0" fillId="2" borderId="1" xfId="0" quotePrefix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14" fontId="0" fillId="2" borderId="1" xfId="0" quotePrefix="1" applyNumberFormat="1" applyFill="1" applyBorder="1" applyAlignment="1">
      <alignment horizontal="left" vertical="center"/>
    </xf>
    <xf numFmtId="0" fontId="1" fillId="2" borderId="1" xfId="4" applyFill="1" applyBorder="1" applyAlignment="1">
      <alignment vertical="center"/>
    </xf>
    <xf numFmtId="0" fontId="1" fillId="2" borderId="1" xfId="4" applyFill="1" applyBorder="1" applyAlignment="1">
      <alignment horizontal="left" vertical="center" wrapText="1"/>
    </xf>
    <xf numFmtId="0" fontId="51" fillId="0" borderId="1" xfId="0" applyFont="1" applyBorder="1" applyAlignment="1">
      <alignment vertical="center" wrapText="1"/>
    </xf>
    <xf numFmtId="0" fontId="10" fillId="0" borderId="1" xfId="0" applyFont="1" applyBorder="1"/>
    <xf numFmtId="1" fontId="0" fillId="0" borderId="1" xfId="0" applyNumberFormat="1" applyBorder="1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52" fillId="0" borderId="1" xfId="0" applyFont="1" applyBorder="1" applyAlignment="1">
      <alignment horizontal="left"/>
    </xf>
    <xf numFmtId="14" fontId="0" fillId="0" borderId="1" xfId="0" applyNumberFormat="1" applyBorder="1" applyAlignment="1">
      <alignment vertical="center"/>
    </xf>
    <xf numFmtId="0" fontId="10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9" fillId="0" borderId="1" xfId="0" quotePrefix="1" applyFont="1" applyBorder="1"/>
    <xf numFmtId="0" fontId="10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23" fillId="0" borderId="1" xfId="0" applyFont="1" applyBorder="1"/>
    <xf numFmtId="0" fontId="54" fillId="0" borderId="1" xfId="0" applyFont="1" applyBorder="1"/>
    <xf numFmtId="164" fontId="0" fillId="0" borderId="1" xfId="6" applyNumberFormat="1" applyFont="1" applyBorder="1" applyAlignment="1">
      <alignment horizontal="center"/>
    </xf>
    <xf numFmtId="0" fontId="0" fillId="2" borderId="1" xfId="0" quotePrefix="1" applyFill="1" applyBorder="1" applyAlignment="1">
      <alignment vertical="center"/>
    </xf>
    <xf numFmtId="0" fontId="21" fillId="0" borderId="0" xfId="0" applyFont="1"/>
    <xf numFmtId="0" fontId="3" fillId="0" borderId="1" xfId="0" applyFont="1" applyBorder="1"/>
    <xf numFmtId="0" fontId="0" fillId="2" borderId="7" xfId="0" quotePrefix="1" applyFill="1" applyBorder="1" applyAlignment="1">
      <alignment vertical="center"/>
    </xf>
    <xf numFmtId="164" fontId="6" fillId="2" borderId="7" xfId="6" applyNumberFormat="1" applyFont="1" applyFill="1" applyBorder="1" applyAlignment="1">
      <alignment horizontal="center"/>
    </xf>
    <xf numFmtId="0" fontId="28" fillId="0" borderId="1" xfId="0" applyFont="1" applyBorder="1" applyAlignment="1">
      <alignment vertical="center"/>
    </xf>
    <xf numFmtId="14" fontId="0" fillId="2" borderId="7" xfId="0" applyNumberFormat="1" applyFill="1" applyBorder="1" applyAlignment="1">
      <alignment horizontal="left"/>
    </xf>
    <xf numFmtId="0" fontId="0" fillId="3" borderId="7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3" fontId="6" fillId="2" borderId="1" xfId="0" quotePrefix="1" applyNumberFormat="1" applyFont="1" applyFill="1" applyBorder="1" applyAlignment="1">
      <alignment vertical="center" wrapText="1"/>
    </xf>
    <xf numFmtId="164" fontId="6" fillId="2" borderId="1" xfId="6" applyNumberFormat="1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53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43" fontId="6" fillId="2" borderId="1" xfId="6" applyFont="1" applyFill="1" applyBorder="1" applyAlignment="1">
      <alignment horizontal="right" vertical="center" wrapText="1"/>
    </xf>
    <xf numFmtId="164" fontId="6" fillId="2" borderId="1" xfId="6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2" borderId="1" xfId="6" applyNumberFormat="1" applyFont="1" applyFill="1" applyBorder="1" applyAlignment="1">
      <alignment horizontal="left" vertical="center" wrapText="1"/>
    </xf>
    <xf numFmtId="164" fontId="0" fillId="2" borderId="1" xfId="6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10" fillId="2" borderId="1" xfId="4" applyFont="1" applyFill="1" applyBorder="1" applyAlignment="1">
      <alignment vertical="center" wrapText="1"/>
    </xf>
    <xf numFmtId="0" fontId="55" fillId="0" borderId="1" xfId="0" applyFont="1" applyBorder="1"/>
    <xf numFmtId="14" fontId="6" fillId="2" borderId="1" xfId="0" applyNumberFormat="1" applyFont="1" applyFill="1" applyBorder="1" applyAlignment="1">
      <alignment horizontal="right" vertical="center" wrapText="1"/>
    </xf>
    <xf numFmtId="0" fontId="0" fillId="0" borderId="4" xfId="0" applyBorder="1" applyAlignment="1">
      <alignment horizontal="left"/>
    </xf>
    <xf numFmtId="0" fontId="6" fillId="3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vertical="center"/>
    </xf>
    <xf numFmtId="0" fontId="6" fillId="2" borderId="1" xfId="0" applyFont="1" applyFill="1" applyBorder="1" applyAlignment="1">
      <alignment wrapText="1"/>
    </xf>
    <xf numFmtId="0" fontId="6" fillId="2" borderId="1" xfId="6" applyNumberFormat="1" applyFont="1" applyFill="1" applyBorder="1" applyAlignment="1">
      <alignment horizontal="right"/>
    </xf>
    <xf numFmtId="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4" xfId="0" applyBorder="1" applyAlignment="1">
      <alignment horizontal="right"/>
    </xf>
    <xf numFmtId="166" fontId="0" fillId="0" borderId="1" xfId="0" applyNumberFormat="1" applyBorder="1" applyAlignment="1">
      <alignment vertical="center" wrapText="1"/>
    </xf>
    <xf numFmtId="0" fontId="16" fillId="0" borderId="1" xfId="0" applyFont="1" applyBorder="1" applyAlignment="1">
      <alignment horizontal="left"/>
    </xf>
    <xf numFmtId="0" fontId="51" fillId="0" borderId="1" xfId="0" applyFont="1" applyBorder="1"/>
    <xf numFmtId="166" fontId="0" fillId="0" borderId="1" xfId="0" applyNumberFormat="1" applyBorder="1"/>
    <xf numFmtId="0" fontId="10" fillId="3" borderId="1" xfId="4" applyFont="1" applyFill="1" applyBorder="1" applyAlignment="1">
      <alignment vertical="center" wrapText="1"/>
    </xf>
    <xf numFmtId="0" fontId="57" fillId="0" borderId="1" xfId="0" applyFont="1" applyBorder="1" applyAlignment="1">
      <alignment wrapText="1"/>
    </xf>
    <xf numFmtId="0" fontId="0" fillId="0" borderId="2" xfId="0" applyBorder="1" applyAlignment="1">
      <alignment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4" fontId="0" fillId="0" borderId="0" xfId="0" applyNumberFormat="1" applyAlignment="1">
      <alignment horizontal="left" vertical="center" wrapText="1"/>
    </xf>
    <xf numFmtId="0" fontId="58" fillId="0" borderId="1" xfId="0" applyFont="1" applyBorder="1"/>
    <xf numFmtId="0" fontId="56" fillId="2" borderId="1" xfId="0" applyFont="1" applyFill="1" applyBorder="1"/>
    <xf numFmtId="171" fontId="6" fillId="2" borderId="1" xfId="6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43" fontId="6" fillId="2" borderId="1" xfId="6" applyFont="1" applyFill="1" applyBorder="1"/>
    <xf numFmtId="14" fontId="0" fillId="0" borderId="2" xfId="0" applyNumberFormat="1" applyBorder="1" applyAlignment="1">
      <alignment horizontal="left"/>
    </xf>
    <xf numFmtId="43" fontId="6" fillId="2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14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wrapText="1"/>
    </xf>
    <xf numFmtId="172" fontId="0" fillId="2" borderId="1" xfId="0" quotePrefix="1" applyNumberFormat="1" applyFill="1" applyBorder="1" applyAlignment="1">
      <alignment horizontal="right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9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right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/>
    <xf numFmtId="14" fontId="0" fillId="2" borderId="1" xfId="0" applyNumberFormat="1" applyFill="1" applyBorder="1" applyAlignment="1">
      <alignment horizontal="center"/>
    </xf>
    <xf numFmtId="14" fontId="0" fillId="0" borderId="4" xfId="0" applyNumberFormat="1" applyBorder="1" applyAlignment="1">
      <alignment vertical="center" wrapText="1"/>
    </xf>
    <xf numFmtId="0" fontId="59" fillId="0" borderId="1" xfId="0" applyFont="1" applyBorder="1"/>
    <xf numFmtId="0" fontId="1" fillId="2" borderId="1" xfId="4" applyFill="1" applyBorder="1" applyAlignment="1">
      <alignment wrapText="1"/>
    </xf>
    <xf numFmtId="171" fontId="0" fillId="2" borderId="1" xfId="6" applyNumberFormat="1" applyFont="1" applyFill="1" applyBorder="1" applyAlignment="1">
      <alignment horizontal="center"/>
    </xf>
    <xf numFmtId="0" fontId="1" fillId="2" borderId="1" xfId="4" applyFill="1" applyBorder="1" applyAlignment="1">
      <alignment vertical="center" wrapText="1"/>
    </xf>
    <xf numFmtId="14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left" vertical="center"/>
    </xf>
    <xf numFmtId="0" fontId="6" fillId="0" borderId="0" xfId="0" applyFont="1"/>
    <xf numFmtId="0" fontId="0" fillId="0" borderId="14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34" fillId="0" borderId="1" xfId="0" applyFont="1" applyBorder="1"/>
    <xf numFmtId="43" fontId="0" fillId="0" borderId="1" xfId="6" applyFont="1" applyBorder="1" applyAlignment="1">
      <alignment horizontal="right"/>
    </xf>
    <xf numFmtId="0" fontId="60" fillId="0" borderId="1" xfId="0" applyFont="1" applyBorder="1"/>
    <xf numFmtId="0" fontId="61" fillId="0" borderId="1" xfId="0" applyFont="1" applyBorder="1"/>
    <xf numFmtId="0" fontId="61" fillId="2" borderId="1" xfId="0" applyFont="1" applyFill="1" applyBorder="1"/>
    <xf numFmtId="0" fontId="60" fillId="2" borderId="1" xfId="0" applyFont="1" applyFill="1" applyBorder="1"/>
    <xf numFmtId="0" fontId="63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6" fillId="3" borderId="7" xfId="0" applyFont="1" applyFill="1" applyBorder="1"/>
    <xf numFmtId="0" fontId="19" fillId="3" borderId="1" xfId="0" applyFont="1" applyFill="1" applyBorder="1"/>
    <xf numFmtId="0" fontId="34" fillId="6" borderId="1" xfId="0" applyFont="1" applyFill="1" applyBorder="1" applyAlignment="1">
      <alignment vertical="center"/>
    </xf>
    <xf numFmtId="0" fontId="0" fillId="3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14" fontId="0" fillId="0" borderId="7" xfId="0" applyNumberFormat="1" applyBorder="1" applyAlignment="1">
      <alignment vertical="center" wrapText="1"/>
    </xf>
    <xf numFmtId="0" fontId="34" fillId="6" borderId="1" xfId="0" applyFont="1" applyFill="1" applyBorder="1" applyAlignment="1">
      <alignment vertical="center" wrapText="1"/>
    </xf>
    <xf numFmtId="0" fontId="1" fillId="2" borderId="7" xfId="4" applyFill="1" applyBorder="1" applyAlignment="1">
      <alignment vertical="center" wrapText="1"/>
    </xf>
    <xf numFmtId="0" fontId="19" fillId="0" borderId="7" xfId="0" applyFont="1" applyBorder="1"/>
    <xf numFmtId="0" fontId="0" fillId="0" borderId="7" xfId="0" applyBorder="1" applyAlignment="1">
      <alignment vertical="center"/>
    </xf>
    <xf numFmtId="0" fontId="0" fillId="2" borderId="7" xfId="0" quotePrefix="1" applyFill="1" applyBorder="1" applyAlignment="1">
      <alignment horizontal="left" vertical="center" wrapText="1"/>
    </xf>
    <xf numFmtId="0" fontId="63" fillId="0" borderId="1" xfId="0" applyFont="1" applyBorder="1" applyAlignment="1">
      <alignment horizontal="left"/>
    </xf>
    <xf numFmtId="49" fontId="0" fillId="0" borderId="1" xfId="0" applyNumberFormat="1" applyBorder="1"/>
    <xf numFmtId="0" fontId="0" fillId="0" borderId="1" xfId="0" quotePrefix="1" applyBorder="1"/>
    <xf numFmtId="164" fontId="6" fillId="2" borderId="1" xfId="6" applyNumberFormat="1" applyFont="1" applyFill="1" applyBorder="1" applyAlignment="1">
      <alignment horizontal="left"/>
    </xf>
    <xf numFmtId="0" fontId="1" fillId="3" borderId="1" xfId="4" applyFill="1" applyBorder="1" applyAlignment="1">
      <alignment vertical="center" wrapText="1"/>
    </xf>
    <xf numFmtId="173" fontId="0" fillId="2" borderId="1" xfId="6" applyNumberFormat="1" applyFont="1" applyFill="1" applyBorder="1" applyAlignment="1">
      <alignment horizontal="right"/>
    </xf>
    <xf numFmtId="0" fontId="19" fillId="0" borderId="0" xfId="0" applyFont="1"/>
    <xf numFmtId="14" fontId="0" fillId="0" borderId="0" xfId="0" applyNumberFormat="1" applyAlignment="1">
      <alignment horizontal="left"/>
    </xf>
    <xf numFmtId="0" fontId="19" fillId="0" borderId="1" xfId="0" applyFont="1" applyBorder="1" applyAlignment="1">
      <alignment horizontal="left"/>
    </xf>
    <xf numFmtId="174" fontId="0" fillId="2" borderId="1" xfId="6" applyNumberFormat="1" applyFont="1" applyFill="1" applyBorder="1" applyAlignment="1">
      <alignment horizontal="right"/>
    </xf>
    <xf numFmtId="11" fontId="0" fillId="0" borderId="1" xfId="0" applyNumberFormat="1" applyBorder="1"/>
    <xf numFmtId="164" fontId="0" fillId="2" borderId="7" xfId="6" applyNumberFormat="1" applyFont="1" applyFill="1" applyBorder="1" applyAlignment="1">
      <alignment horizontal="left"/>
    </xf>
    <xf numFmtId="14" fontId="0" fillId="0" borderId="7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wrapText="1"/>
    </xf>
    <xf numFmtId="0" fontId="16" fillId="0" borderId="0" xfId="0" applyFont="1"/>
    <xf numFmtId="0" fontId="9" fillId="3" borderId="1" xfId="0" applyFont="1" applyFill="1" applyBorder="1"/>
    <xf numFmtId="11" fontId="0" fillId="0" borderId="1" xfId="0" applyNumberFormat="1" applyBorder="1" applyAlignment="1">
      <alignment vertical="center" wrapText="1"/>
    </xf>
    <xf numFmtId="0" fontId="64" fillId="2" borderId="1" xfId="0" applyFont="1" applyFill="1" applyBorder="1"/>
    <xf numFmtId="0" fontId="65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21" fillId="3" borderId="1" xfId="0" applyFont="1" applyFill="1" applyBorder="1"/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14" fontId="0" fillId="3" borderId="1" xfId="0" applyNumberFormat="1" applyFill="1" applyBorder="1"/>
    <xf numFmtId="0" fontId="0" fillId="3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0" fontId="1" fillId="3" borderId="1" xfId="6" applyNumberFormat="1" applyFont="1" applyFill="1" applyBorder="1" applyAlignment="1">
      <alignment wrapText="1"/>
    </xf>
    <xf numFmtId="164" fontId="0" fillId="2" borderId="1" xfId="6" quotePrefix="1" applyNumberFormat="1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0" fillId="3" borderId="2" xfId="0" applyFill="1" applyBorder="1"/>
    <xf numFmtId="11" fontId="0" fillId="2" borderId="1" xfId="0" applyNumberFormat="1" applyFill="1" applyBorder="1"/>
    <xf numFmtId="0" fontId="31" fillId="0" borderId="0" xfId="0" applyFont="1"/>
    <xf numFmtId="0" fontId="66" fillId="0" borderId="0" xfId="0" applyFont="1"/>
    <xf numFmtId="0" fontId="27" fillId="2" borderId="1" xfId="0" applyFont="1" applyFill="1" applyBorder="1" applyAlignment="1">
      <alignment horizontal="justify" vertical="center"/>
    </xf>
    <xf numFmtId="174" fontId="6" fillId="2" borderId="1" xfId="0" applyNumberFormat="1" applyFont="1" applyFill="1" applyBorder="1"/>
    <xf numFmtId="0" fontId="7" fillId="2" borderId="1" xfId="0" applyFont="1" applyFill="1" applyBorder="1" applyAlignment="1">
      <alignment horizontal="right"/>
    </xf>
    <xf numFmtId="0" fontId="72" fillId="0" borderId="0" xfId="0" applyFont="1"/>
    <xf numFmtId="0" fontId="22" fillId="0" borderId="1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1" fillId="0" borderId="1" xfId="0" applyFont="1" applyBorder="1"/>
    <xf numFmtId="0" fontId="16" fillId="6" borderId="1" xfId="0" applyFont="1" applyFill="1" applyBorder="1" applyAlignment="1">
      <alignment horizontal="center" wrapText="1"/>
    </xf>
    <xf numFmtId="0" fontId="70" fillId="0" borderId="1" xfId="0" applyFont="1" applyBorder="1" applyAlignment="1">
      <alignment horizontal="center" wrapText="1"/>
    </xf>
    <xf numFmtId="0" fontId="71" fillId="2" borderId="1" xfId="0" applyFont="1" applyFill="1" applyBorder="1" applyAlignment="1">
      <alignment horizontal="center" wrapText="1"/>
    </xf>
    <xf numFmtId="0" fontId="73" fillId="0" borderId="1" xfId="11" applyFill="1" applyBorder="1"/>
    <xf numFmtId="0" fontId="1" fillId="2" borderId="1" xfId="12" applyFont="1" applyFill="1" applyBorder="1" applyAlignment="1">
      <alignment horizontal="center"/>
    </xf>
    <xf numFmtId="9" fontId="6" fillId="2" borderId="1" xfId="0" applyNumberFormat="1" applyFont="1" applyFill="1" applyBorder="1" applyAlignment="1">
      <alignment horizontal="left"/>
    </xf>
    <xf numFmtId="0" fontId="6" fillId="2" borderId="1" xfId="6" applyNumberFormat="1" applyFont="1" applyFill="1" applyBorder="1" applyAlignment="1"/>
    <xf numFmtId="0" fontId="27" fillId="3" borderId="1" xfId="0" applyFont="1" applyFill="1" applyBorder="1"/>
    <xf numFmtId="0" fontId="67" fillId="0" borderId="0" xfId="0" applyFont="1" applyAlignment="1">
      <alignment wrapText="1"/>
    </xf>
    <xf numFmtId="0" fontId="21" fillId="0" borderId="1" xfId="0" applyFont="1" applyBorder="1" applyAlignment="1">
      <alignment horizontal="left"/>
    </xf>
    <xf numFmtId="0" fontId="0" fillId="3" borderId="0" xfId="0" applyFill="1"/>
    <xf numFmtId="0" fontId="76" fillId="0" borderId="0" xfId="0" applyFont="1"/>
    <xf numFmtId="0" fontId="27" fillId="3" borderId="7" xfId="0" applyFont="1" applyFill="1" applyBorder="1"/>
    <xf numFmtId="0" fontId="2" fillId="2" borderId="1" xfId="0" applyFont="1" applyFill="1" applyBorder="1"/>
    <xf numFmtId="0" fontId="0" fillId="2" borderId="0" xfId="0" applyFill="1" applyAlignment="1">
      <alignment horizontal="left"/>
    </xf>
    <xf numFmtId="164" fontId="6" fillId="2" borderId="1" xfId="6" applyNumberFormat="1" applyFont="1" applyFill="1" applyBorder="1"/>
    <xf numFmtId="171" fontId="6" fillId="2" borderId="1" xfId="0" applyNumberFormat="1" applyFont="1" applyFill="1" applyBorder="1"/>
    <xf numFmtId="164" fontId="6" fillId="2" borderId="1" xfId="0" applyNumberFormat="1" applyFont="1" applyFill="1" applyBorder="1"/>
    <xf numFmtId="0" fontId="6" fillId="2" borderId="1" xfId="6" applyNumberFormat="1" applyFont="1" applyFill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73" fontId="6" fillId="2" borderId="1" xfId="6" applyNumberFormat="1" applyFont="1" applyFill="1" applyBorder="1" applyAlignment="1">
      <alignment horizontal="left" indent="1"/>
    </xf>
    <xf numFmtId="164" fontId="0" fillId="2" borderId="1" xfId="0" applyNumberFormat="1" applyFill="1" applyBorder="1"/>
    <xf numFmtId="16" fontId="10" fillId="2" borderId="1" xfId="0" applyNumberFormat="1" applyFont="1" applyFill="1" applyBorder="1"/>
    <xf numFmtId="16" fontId="3" fillId="2" borderId="1" xfId="0" applyNumberFormat="1" applyFont="1" applyFill="1" applyBorder="1" applyAlignment="1">
      <alignment horizontal="left"/>
    </xf>
    <xf numFmtId="16" fontId="0" fillId="2" borderId="1" xfId="0" applyNumberFormat="1" applyFill="1" applyBorder="1" applyAlignment="1">
      <alignment horizontal="left"/>
    </xf>
    <xf numFmtId="16" fontId="10" fillId="2" borderId="1" xfId="0" applyNumberFormat="1" applyFont="1" applyFill="1" applyBorder="1" applyAlignment="1">
      <alignment horizontal="left"/>
    </xf>
    <xf numFmtId="0" fontId="79" fillId="0" borderId="0" xfId="0" applyFont="1"/>
    <xf numFmtId="0" fontId="80" fillId="0" borderId="1" xfId="0" applyFont="1" applyBorder="1" applyAlignment="1">
      <alignment horizontal="center"/>
    </xf>
    <xf numFmtId="0" fontId="81" fillId="0" borderId="1" xfId="0" applyFont="1" applyBorder="1" applyAlignment="1">
      <alignment horizontal="center" wrapText="1"/>
    </xf>
    <xf numFmtId="166" fontId="24" fillId="6" borderId="1" xfId="0" applyNumberFormat="1" applyFont="1" applyFill="1" applyBorder="1" applyAlignment="1">
      <alignment horizontal="center" wrapText="1"/>
    </xf>
    <xf numFmtId="0" fontId="78" fillId="0" borderId="0" xfId="0" applyFont="1" applyAlignment="1">
      <alignment horizontal="center"/>
    </xf>
    <xf numFmtId="0" fontId="79" fillId="2" borderId="0" xfId="0" applyFont="1" applyFill="1" applyAlignment="1">
      <alignment horizontal="center" wrapText="1"/>
    </xf>
    <xf numFmtId="0" fontId="80" fillId="0" borderId="0" xfId="0" applyFont="1" applyAlignment="1">
      <alignment horizontal="center"/>
    </xf>
    <xf numFmtId="0" fontId="79" fillId="0" borderId="1" xfId="0" applyFont="1" applyBorder="1"/>
    <xf numFmtId="0" fontId="79" fillId="3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82" fillId="2" borderId="1" xfId="0" applyFont="1" applyFill="1" applyBorder="1" applyAlignment="1">
      <alignment horizontal="center" wrapText="1"/>
    </xf>
    <xf numFmtId="0" fontId="77" fillId="0" borderId="1" xfId="0" applyFont="1" applyBorder="1" applyAlignment="1">
      <alignment horizontal="center"/>
    </xf>
    <xf numFmtId="0" fontId="83" fillId="0" borderId="0" xfId="0" applyFont="1"/>
    <xf numFmtId="0" fontId="2" fillId="0" borderId="7" xfId="0" applyFont="1" applyBorder="1"/>
    <xf numFmtId="0" fontId="8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" fontId="10" fillId="0" borderId="1" xfId="0" applyNumberFormat="1" applyFont="1" applyBorder="1" applyAlignment="1">
      <alignment horizontal="left" wrapText="1"/>
    </xf>
    <xf numFmtId="0" fontId="81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vertical="center"/>
    </xf>
    <xf numFmtId="0" fontId="2" fillId="0" borderId="2" xfId="0" applyFont="1" applyBorder="1"/>
    <xf numFmtId="0" fontId="24" fillId="0" borderId="9" xfId="14" applyFont="1" applyBorder="1" applyAlignment="1">
      <alignment horizontal="center"/>
    </xf>
    <xf numFmtId="166" fontId="0" fillId="0" borderId="0" xfId="0" applyNumberFormat="1"/>
    <xf numFmtId="166" fontId="82" fillId="6" borderId="0" xfId="0" applyNumberFormat="1" applyFont="1" applyFill="1" applyAlignment="1">
      <alignment horizontal="center" wrapText="1"/>
    </xf>
    <xf numFmtId="0" fontId="78" fillId="0" borderId="1" xfId="0" applyFont="1" applyBorder="1" applyAlignment="1">
      <alignment horizontal="center"/>
    </xf>
    <xf numFmtId="166" fontId="82" fillId="6" borderId="1" xfId="0" applyNumberFormat="1" applyFont="1" applyFill="1" applyBorder="1" applyAlignment="1">
      <alignment horizontal="center" wrapText="1"/>
    </xf>
    <xf numFmtId="0" fontId="81" fillId="0" borderId="1" xfId="0" applyFont="1" applyBorder="1"/>
    <xf numFmtId="0" fontId="86" fillId="0" borderId="1" xfId="0" applyFont="1" applyBorder="1" applyAlignment="1">
      <alignment horizontal="center"/>
    </xf>
    <xf numFmtId="0" fontId="81" fillId="0" borderId="0" xfId="0" applyFont="1"/>
    <xf numFmtId="0" fontId="81" fillId="2" borderId="0" xfId="0" applyFont="1" applyFill="1" applyAlignment="1">
      <alignment horizontal="center" wrapText="1"/>
    </xf>
    <xf numFmtId="0" fontId="86" fillId="0" borderId="0" xfId="0" applyFont="1" applyAlignment="1">
      <alignment horizontal="center"/>
    </xf>
    <xf numFmtId="0" fontId="22" fillId="2" borderId="1" xfId="0" applyFont="1" applyFill="1" applyBorder="1" applyAlignment="1">
      <alignment horizontal="left" wrapText="1"/>
    </xf>
    <xf numFmtId="166" fontId="79" fillId="2" borderId="0" xfId="0" applyNumberFormat="1" applyFont="1" applyFill="1" applyAlignment="1">
      <alignment horizontal="center" wrapText="1"/>
    </xf>
    <xf numFmtId="0" fontId="87" fillId="0" borderId="1" xfId="0" applyFont="1" applyBorder="1"/>
    <xf numFmtId="0" fontId="87" fillId="0" borderId="1" xfId="0" applyFont="1" applyBorder="1" applyAlignment="1">
      <alignment horizontal="left"/>
    </xf>
    <xf numFmtId="0" fontId="87" fillId="0" borderId="1" xfId="0" applyFont="1" applyBorder="1" applyAlignment="1">
      <alignment vertical="center"/>
    </xf>
    <xf numFmtId="11" fontId="0" fillId="2" borderId="1" xfId="0" applyNumberFormat="1" applyFill="1" applyBorder="1" applyAlignment="1">
      <alignment horizontal="left"/>
    </xf>
    <xf numFmtId="0" fontId="6" fillId="0" borderId="1" xfId="0" applyFont="1" applyBorder="1" applyAlignment="1">
      <alignment horizontal="right"/>
    </xf>
    <xf numFmtId="16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/>
    </xf>
    <xf numFmtId="43" fontId="0" fillId="0" borderId="1" xfId="6" applyFont="1" applyFill="1" applyBorder="1" applyAlignment="1">
      <alignment horizontal="right"/>
    </xf>
    <xf numFmtId="164" fontId="0" fillId="0" borderId="1" xfId="0" applyNumberFormat="1" applyBorder="1" applyAlignment="1">
      <alignment horizontal="left"/>
    </xf>
    <xf numFmtId="1" fontId="24" fillId="6" borderId="1" xfId="0" applyNumberFormat="1" applyFont="1" applyFill="1" applyBorder="1" applyAlignment="1">
      <alignment horizontal="center" wrapText="1"/>
    </xf>
    <xf numFmtId="0" fontId="88" fillId="3" borderId="0" xfId="0" applyFont="1" applyFill="1" applyAlignment="1">
      <alignment wrapText="1"/>
    </xf>
    <xf numFmtId="0" fontId="78" fillId="0" borderId="8" xfId="0" applyFont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89" fillId="0" borderId="1" xfId="0" applyFont="1" applyBorder="1" applyAlignment="1">
      <alignment horizontal="center"/>
    </xf>
    <xf numFmtId="0" fontId="90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5" fillId="0" borderId="0" xfId="0" applyFont="1"/>
    <xf numFmtId="0" fontId="6" fillId="2" borderId="0" xfId="0" applyFont="1" applyFill="1"/>
    <xf numFmtId="1" fontId="24" fillId="6" borderId="1" xfId="14" applyNumberFormat="1" applyFont="1" applyFill="1" applyBorder="1" applyAlignment="1">
      <alignment horizontal="center" wrapText="1"/>
    </xf>
    <xf numFmtId="16" fontId="10" fillId="2" borderId="1" xfId="0" quotePrefix="1" applyNumberFormat="1" applyFont="1" applyFill="1" applyBorder="1" applyAlignment="1">
      <alignment horizontal="left"/>
    </xf>
    <xf numFmtId="0" fontId="19" fillId="0" borderId="0" xfId="0" applyFont="1" applyAlignment="1">
      <alignment wrapText="1"/>
    </xf>
    <xf numFmtId="0" fontId="0" fillId="2" borderId="1" xfId="0" applyFill="1" applyBorder="1" applyAlignment="1">
      <alignment horizontal="right" vertical="center"/>
    </xf>
    <xf numFmtId="0" fontId="28" fillId="0" borderId="1" xfId="0" applyFont="1" applyBorder="1" applyAlignment="1">
      <alignment vertical="center" wrapText="1"/>
    </xf>
    <xf numFmtId="0" fontId="0" fillId="0" borderId="5" xfId="0" applyBorder="1" applyAlignment="1">
      <alignment wrapText="1"/>
    </xf>
    <xf numFmtId="0" fontId="28" fillId="3" borderId="1" xfId="0" applyFont="1" applyFill="1" applyBorder="1"/>
    <xf numFmtId="0" fontId="91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164" fontId="6" fillId="0" borderId="1" xfId="6" applyNumberFormat="1" applyFont="1" applyFill="1" applyBorder="1" applyAlignment="1">
      <alignment horizontal="right" wrapText="1"/>
    </xf>
    <xf numFmtId="0" fontId="92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/>
    </xf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15" xfId="0" applyBorder="1" applyAlignment="1">
      <alignment wrapText="1"/>
    </xf>
    <xf numFmtId="164" fontId="6" fillId="2" borderId="1" xfId="6" quotePrefix="1" applyNumberFormat="1" applyFont="1" applyFill="1" applyBorder="1" applyAlignment="1">
      <alignment horizontal="left"/>
    </xf>
    <xf numFmtId="16" fontId="6" fillId="2" borderId="1" xfId="0" applyNumberFormat="1" applyFont="1" applyFill="1" applyBorder="1" applyAlignment="1">
      <alignment horizontal="left"/>
    </xf>
    <xf numFmtId="0" fontId="93" fillId="0" borderId="1" xfId="0" applyFont="1" applyBorder="1"/>
    <xf numFmtId="0" fontId="2" fillId="0" borderId="1" xfId="0" applyFont="1" applyBorder="1" applyAlignment="1">
      <alignment wrapText="1"/>
    </xf>
    <xf numFmtId="0" fontId="96" fillId="0" borderId="0" xfId="0" applyFont="1"/>
    <xf numFmtId="0" fontId="0" fillId="3" borderId="0" xfId="0" applyFill="1" applyAlignment="1">
      <alignment wrapText="1"/>
    </xf>
    <xf numFmtId="0" fontId="0" fillId="3" borderId="1" xfId="0" applyFill="1" applyBorder="1" applyAlignment="1">
      <alignment horizontal="right" vertical="center" wrapText="1"/>
    </xf>
    <xf numFmtId="0" fontId="97" fillId="0" borderId="1" xfId="0" applyFont="1" applyBorder="1" applyAlignment="1">
      <alignment horizontal="left"/>
    </xf>
    <xf numFmtId="0" fontId="10" fillId="0" borderId="0" xfId="0" applyFont="1" applyAlignment="1">
      <alignment vertical="center" wrapText="1"/>
    </xf>
    <xf numFmtId="0" fontId="9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left"/>
    </xf>
    <xf numFmtId="0" fontId="7" fillId="2" borderId="1" xfId="6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right" vertical="center" wrapText="1"/>
    </xf>
    <xf numFmtId="14" fontId="99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wrapText="1"/>
    </xf>
    <xf numFmtId="0" fontId="100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0" fillId="0" borderId="1" xfId="0" applyFont="1" applyBorder="1"/>
    <xf numFmtId="0" fontId="10" fillId="2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2" fillId="0" borderId="0" xfId="0" applyFont="1"/>
    <xf numFmtId="0" fontId="10" fillId="0" borderId="0" xfId="0" applyFont="1"/>
    <xf numFmtId="0" fontId="0" fillId="0" borderId="2" xfId="0" applyBorder="1" applyAlignment="1">
      <alignment horizontal="left" wrapText="1"/>
    </xf>
    <xf numFmtId="0" fontId="10" fillId="2" borderId="0" xfId="0" applyFont="1" applyFill="1"/>
    <xf numFmtId="11" fontId="10" fillId="2" borderId="1" xfId="0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11" fontId="10" fillId="2" borderId="1" xfId="0" applyNumberFormat="1" applyFont="1" applyFill="1" applyBorder="1"/>
    <xf numFmtId="0" fontId="96" fillId="2" borderId="1" xfId="0" applyFont="1" applyFill="1" applyBorder="1"/>
    <xf numFmtId="0" fontId="101" fillId="2" borderId="1" xfId="0" applyFont="1" applyFill="1" applyBorder="1"/>
    <xf numFmtId="0" fontId="96" fillId="2" borderId="1" xfId="0" applyFont="1" applyFill="1" applyBorder="1" applyAlignment="1">
      <alignment vertical="center"/>
    </xf>
    <xf numFmtId="0" fontId="10" fillId="2" borderId="7" xfId="0" applyFont="1" applyFill="1" applyBorder="1"/>
    <xf numFmtId="0" fontId="97" fillId="2" borderId="1" xfId="0" applyFont="1" applyFill="1" applyBorder="1" applyAlignment="1">
      <alignment horizontal="left"/>
    </xf>
    <xf numFmtId="0" fontId="10" fillId="0" borderId="7" xfId="0" applyFont="1" applyBorder="1"/>
    <xf numFmtId="0" fontId="10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wrapText="1"/>
    </xf>
    <xf numFmtId="0" fontId="10" fillId="3" borderId="7" xfId="0" applyFont="1" applyFill="1" applyBorder="1" applyAlignment="1">
      <alignment vertical="center" wrapText="1"/>
    </xf>
    <xf numFmtId="0" fontId="31" fillId="0" borderId="1" xfId="0" applyFont="1" applyBorder="1"/>
    <xf numFmtId="0" fontId="101" fillId="0" borderId="0" xfId="0" applyFont="1"/>
    <xf numFmtId="0" fontId="103" fillId="0" borderId="0" xfId="0" applyFont="1"/>
    <xf numFmtId="0" fontId="101" fillId="0" borderId="0" xfId="0" applyFont="1" applyAlignment="1">
      <alignment horizontal="left" vertical="center"/>
    </xf>
    <xf numFmtId="0" fontId="101" fillId="0" borderId="0" xfId="0" applyFont="1" applyAlignment="1">
      <alignment wrapText="1"/>
    </xf>
    <xf numFmtId="0" fontId="45" fillId="0" borderId="1" xfId="0" applyFont="1" applyBorder="1" applyAlignment="1">
      <alignment horizontal="left"/>
    </xf>
    <xf numFmtId="0" fontId="45" fillId="0" borderId="1" xfId="0" applyFont="1" applyBorder="1" applyAlignment="1">
      <alignment vertical="center" wrapText="1"/>
    </xf>
    <xf numFmtId="0" fontId="45" fillId="2" borderId="1" xfId="0" applyFont="1" applyFill="1" applyBorder="1" applyAlignment="1">
      <alignment horizontal="left"/>
    </xf>
    <xf numFmtId="0" fontId="45" fillId="0" borderId="1" xfId="0" applyFont="1" applyBorder="1"/>
    <xf numFmtId="0" fontId="0" fillId="3" borderId="2" xfId="0" applyFill="1" applyBorder="1" applyAlignment="1">
      <alignment wrapText="1"/>
    </xf>
    <xf numFmtId="0" fontId="103" fillId="3" borderId="0" xfId="0" applyFont="1" applyFill="1" applyAlignment="1">
      <alignment wrapText="1"/>
    </xf>
    <xf numFmtId="0" fontId="104" fillId="0" borderId="1" xfId="0" applyFont="1" applyBorder="1" applyAlignment="1">
      <alignment horizontal="left"/>
    </xf>
    <xf numFmtId="0" fontId="28" fillId="0" borderId="0" xfId="0" applyFont="1"/>
    <xf numFmtId="0" fontId="105" fillId="0" borderId="0" xfId="0" applyFont="1"/>
    <xf numFmtId="0" fontId="19" fillId="0" borderId="0" xfId="0" applyFont="1" applyAlignment="1">
      <alignment vertical="center"/>
    </xf>
    <xf numFmtId="0" fontId="0" fillId="7" borderId="1" xfId="0" applyFill="1" applyBorder="1" applyAlignment="1">
      <alignment vertical="center" wrapText="1"/>
    </xf>
    <xf numFmtId="17" fontId="0" fillId="0" borderId="1" xfId="0" applyNumberFormat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106" fillId="0" borderId="1" xfId="0" applyFont="1" applyBorder="1" applyAlignment="1">
      <alignment vertical="center"/>
    </xf>
    <xf numFmtId="0" fontId="34" fillId="3" borderId="1" xfId="0" applyFont="1" applyFill="1" applyBorder="1" applyAlignment="1">
      <alignment vertical="center" wrapText="1"/>
    </xf>
    <xf numFmtId="0" fontId="105" fillId="0" borderId="0" xfId="0" applyFont="1" applyAlignment="1">
      <alignment wrapText="1"/>
    </xf>
    <xf numFmtId="0" fontId="34" fillId="3" borderId="1" xfId="0" applyFont="1" applyFill="1" applyBorder="1" applyAlignment="1">
      <alignment vertical="center"/>
    </xf>
    <xf numFmtId="0" fontId="98" fillId="0" borderId="1" xfId="0" applyFont="1" applyBorder="1" applyAlignment="1">
      <alignment horizontal="right" vertical="center" wrapText="1"/>
    </xf>
    <xf numFmtId="0" fontId="0" fillId="2" borderId="7" xfId="0" applyFill="1" applyBorder="1" applyAlignment="1">
      <alignment vertical="center" wrapText="1"/>
    </xf>
    <xf numFmtId="0" fontId="106" fillId="0" borderId="7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35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3" borderId="1" xfId="0" applyFont="1" applyFill="1" applyBorder="1" applyAlignment="1">
      <alignment horizontal="left"/>
    </xf>
    <xf numFmtId="0" fontId="0" fillId="0" borderId="1" xfId="0" applyBorder="1"/>
    <xf numFmtId="0" fontId="35" fillId="3" borderId="7" xfId="0" applyFont="1" applyFill="1" applyBorder="1" applyAlignment="1">
      <alignment horizontal="left" vertical="center"/>
    </xf>
    <xf numFmtId="0" fontId="35" fillId="3" borderId="2" xfId="0" applyFont="1" applyFill="1" applyBorder="1" applyAlignment="1">
      <alignment horizontal="left" vertical="center"/>
    </xf>
    <xf numFmtId="0" fontId="35" fillId="3" borderId="14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5">
    <cellStyle name="Comma" xfId="6" builtinId="3"/>
    <cellStyle name="Comma 2 2" xfId="2" xr:uid="{00000000-0005-0000-0000-000001000000}"/>
    <cellStyle name="Comma 3" xfId="8" xr:uid="{59901753-3C42-47B1-A8D0-8DD92F7CDE87}"/>
    <cellStyle name="Hyperlink" xfId="11" builtinId="8"/>
    <cellStyle name="Normal" xfId="0" builtinId="0"/>
    <cellStyle name="Normal 2" xfId="1" xr:uid="{00000000-0005-0000-0000-000003000000}"/>
    <cellStyle name="Normal 2 2" xfId="3" xr:uid="{00000000-0005-0000-0000-000004000000}"/>
    <cellStyle name="Normal 2 3" xfId="7" xr:uid="{00000000-0005-0000-0000-000005000000}"/>
    <cellStyle name="Normal 3" xfId="4" xr:uid="{00000000-0005-0000-0000-000006000000}"/>
    <cellStyle name="Normal 3 2" xfId="10" xr:uid="{D63B9446-57AE-43A4-8B77-556639B5A279}"/>
    <cellStyle name="Normal 30" xfId="5" xr:uid="{00000000-0005-0000-0000-000007000000}"/>
    <cellStyle name="Normal 4" xfId="9" xr:uid="{EC763168-7F40-452D-9E81-E5704DAE13B6}"/>
    <cellStyle name="Normal 5" xfId="12" xr:uid="{0BBC5A68-069D-4B88-A9AA-5D100129E442}"/>
    <cellStyle name="Normal 6" xfId="13" xr:uid="{F60C8CEF-A8CE-4B48-8CEE-9E14073F2D67}"/>
    <cellStyle name="Normal 7" xfId="14" xr:uid="{D1E5964E-B935-48EE-B01F-FD3C19E753F0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L-THREONINE@1535" TargetMode="External"/><Relationship Id="rId2" Type="http://schemas.openxmlformats.org/officeDocument/2006/relationships/hyperlink" Target="mailto:MADUMAX-B@300/KG" TargetMode="External"/><Relationship Id="rId1" Type="http://schemas.openxmlformats.org/officeDocument/2006/relationships/hyperlink" Target="mailto:DCP@45500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C574-3EBD-4469-8459-45A154EF3DDE}">
  <sheetPr codeName="Sheet6"/>
  <dimension ref="A1:AL300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9.109375" style="2"/>
    <col min="2" max="2" width="33.33203125" style="25" bestFit="1" customWidth="1"/>
    <col min="3" max="3" width="21.44140625" style="2" bestFit="1" customWidth="1"/>
    <col min="4" max="4" width="27.44140625" style="4" bestFit="1" customWidth="1"/>
    <col min="5" max="5" width="27.44140625" style="4" customWidth="1"/>
    <col min="6" max="6" width="38.33203125" style="2" bestFit="1" customWidth="1"/>
    <col min="7" max="7" width="11.33203125" style="2" bestFit="1" customWidth="1"/>
    <col min="8" max="8" width="24.109375" style="5" bestFit="1" customWidth="1"/>
    <col min="9" max="9" width="20.109375" style="5" bestFit="1" customWidth="1"/>
    <col min="10" max="10" width="38.33203125" style="2" bestFit="1" customWidth="1"/>
    <col min="11" max="11" width="10.5546875" style="2" bestFit="1" customWidth="1"/>
    <col min="12" max="12" width="24.33203125" style="2" bestFit="1" customWidth="1"/>
    <col min="13" max="13" width="78.5546875" style="2" bestFit="1" customWidth="1"/>
    <col min="14" max="14" width="26.6640625" style="2" bestFit="1" customWidth="1"/>
    <col min="15" max="15" width="30.5546875" style="2" bestFit="1" customWidth="1"/>
    <col min="16" max="16" width="11.33203125" style="2" bestFit="1" customWidth="1"/>
    <col min="17" max="18" width="9.109375" style="2"/>
    <col min="19" max="19" width="9.6640625" style="2" bestFit="1" customWidth="1"/>
    <col min="20" max="16384" width="9.109375" style="2"/>
  </cols>
  <sheetData>
    <row r="1" spans="1:15" x14ac:dyDescent="0.3">
      <c r="A1" s="2" t="s">
        <v>29</v>
      </c>
      <c r="B1" s="25" t="s">
        <v>30</v>
      </c>
      <c r="C1" s="2" t="s">
        <v>31</v>
      </c>
      <c r="D1" s="4" t="s">
        <v>32</v>
      </c>
      <c r="E1" s="4" t="s">
        <v>33</v>
      </c>
      <c r="F1" s="2" t="s">
        <v>34</v>
      </c>
      <c r="G1" s="2" t="s">
        <v>35</v>
      </c>
      <c r="H1" s="5" t="s">
        <v>36</v>
      </c>
      <c r="I1" s="5" t="s">
        <v>37</v>
      </c>
    </row>
    <row r="2" spans="1:15" ht="15.6" x14ac:dyDescent="0.3">
      <c r="A2" s="2" t="s">
        <v>38</v>
      </c>
      <c r="B2" s="11" t="s">
        <v>39</v>
      </c>
      <c r="C2" s="6" t="s">
        <v>40</v>
      </c>
      <c r="D2" s="4">
        <v>213734366</v>
      </c>
      <c r="E2" s="4" t="s">
        <v>41</v>
      </c>
      <c r="F2" s="7" t="s">
        <v>42</v>
      </c>
      <c r="G2" s="14">
        <v>520</v>
      </c>
      <c r="H2" s="5">
        <v>20</v>
      </c>
      <c r="I2" s="5">
        <v>40</v>
      </c>
      <c r="J2" s="14" t="s">
        <v>43</v>
      </c>
      <c r="K2" s="2" t="s">
        <v>44</v>
      </c>
      <c r="L2" s="20" t="s">
        <v>28</v>
      </c>
      <c r="N2" s="2" t="s">
        <v>45</v>
      </c>
      <c r="O2" s="2" t="s">
        <v>46</v>
      </c>
    </row>
    <row r="3" spans="1:15" ht="15.6" x14ac:dyDescent="0.3">
      <c r="A3" s="2" t="s">
        <v>38</v>
      </c>
      <c r="B3" s="11" t="s">
        <v>39</v>
      </c>
      <c r="C3" s="6" t="s">
        <v>47</v>
      </c>
      <c r="D3" s="4">
        <v>213734339</v>
      </c>
      <c r="E3" s="4" t="s">
        <v>41</v>
      </c>
      <c r="F3" s="7" t="s">
        <v>42</v>
      </c>
      <c r="G3" s="14">
        <v>500</v>
      </c>
      <c r="H3" s="5">
        <v>18</v>
      </c>
      <c r="I3" s="5">
        <v>40</v>
      </c>
      <c r="J3" s="14" t="s">
        <v>43</v>
      </c>
      <c r="K3" s="2" t="s">
        <v>44</v>
      </c>
      <c r="L3" s="20" t="s">
        <v>28</v>
      </c>
      <c r="M3" s="2" t="s">
        <v>48</v>
      </c>
    </row>
    <row r="5" spans="1:15" x14ac:dyDescent="0.3">
      <c r="A5" s="2" t="s">
        <v>49</v>
      </c>
      <c r="B5" s="25" t="s">
        <v>50</v>
      </c>
      <c r="C5" s="25" t="s">
        <v>51</v>
      </c>
      <c r="F5" s="25" t="s">
        <v>52</v>
      </c>
      <c r="G5" s="25">
        <v>15</v>
      </c>
      <c r="H5" s="5">
        <v>1</v>
      </c>
      <c r="J5" s="2" t="s">
        <v>53</v>
      </c>
      <c r="L5" s="2" t="s">
        <v>28</v>
      </c>
    </row>
    <row r="6" spans="1:15" x14ac:dyDescent="0.3">
      <c r="A6" s="2" t="s">
        <v>49</v>
      </c>
      <c r="B6" s="25" t="s">
        <v>50</v>
      </c>
      <c r="C6" s="25" t="s">
        <v>51</v>
      </c>
      <c r="F6" s="25" t="s">
        <v>54</v>
      </c>
      <c r="G6" s="25">
        <v>15</v>
      </c>
      <c r="H6" s="5">
        <v>1</v>
      </c>
      <c r="J6" s="2" t="s">
        <v>53</v>
      </c>
      <c r="L6" s="2" t="s">
        <v>28</v>
      </c>
    </row>
    <row r="8" spans="1:15" x14ac:dyDescent="0.3">
      <c r="A8" s="2" t="s">
        <v>55</v>
      </c>
      <c r="B8" s="20" t="s">
        <v>56</v>
      </c>
      <c r="C8" s="41" t="s">
        <v>57</v>
      </c>
      <c r="F8" s="20" t="s">
        <v>58</v>
      </c>
      <c r="G8" s="20">
        <v>10</v>
      </c>
      <c r="H8" s="5">
        <v>1</v>
      </c>
      <c r="I8" s="5">
        <v>20</v>
      </c>
      <c r="L8" s="20" t="s">
        <v>59</v>
      </c>
    </row>
    <row r="10" spans="1:15" ht="15.6" x14ac:dyDescent="0.3">
      <c r="A10" s="2" t="s">
        <v>60</v>
      </c>
      <c r="B10" s="11" t="s">
        <v>39</v>
      </c>
      <c r="C10" s="20" t="s">
        <v>61</v>
      </c>
      <c r="D10" s="175" t="s">
        <v>62</v>
      </c>
      <c r="E10" s="175" t="s">
        <v>41</v>
      </c>
      <c r="F10" s="7" t="s">
        <v>42</v>
      </c>
      <c r="G10" s="14">
        <v>130</v>
      </c>
      <c r="H10" s="5">
        <v>5</v>
      </c>
      <c r="I10" s="5">
        <v>40</v>
      </c>
      <c r="J10" s="6" t="s">
        <v>63</v>
      </c>
      <c r="K10" s="2" t="s">
        <v>64</v>
      </c>
      <c r="L10" s="2" t="s">
        <v>65</v>
      </c>
      <c r="M10" s="2" t="s">
        <v>66</v>
      </c>
    </row>
    <row r="12" spans="1:15" x14ac:dyDescent="0.3">
      <c r="A12" s="2" t="s">
        <v>67</v>
      </c>
      <c r="B12" s="25" t="s">
        <v>68</v>
      </c>
      <c r="C12" s="2" t="s">
        <v>69</v>
      </c>
      <c r="D12" s="4">
        <v>213819772</v>
      </c>
      <c r="E12" s="4" t="s">
        <v>41</v>
      </c>
      <c r="F12" s="2" t="s">
        <v>70</v>
      </c>
      <c r="G12" s="2">
        <v>234.19</v>
      </c>
      <c r="H12" s="5">
        <v>9</v>
      </c>
      <c r="I12" s="5">
        <v>40</v>
      </c>
      <c r="J12" s="25" t="s">
        <v>43</v>
      </c>
      <c r="K12" s="2" t="s">
        <v>44</v>
      </c>
      <c r="L12" s="2" t="s">
        <v>28</v>
      </c>
      <c r="M12" s="2" t="s">
        <v>71</v>
      </c>
      <c r="N12" s="2" t="s">
        <v>72</v>
      </c>
    </row>
    <row r="14" spans="1:15" x14ac:dyDescent="0.3">
      <c r="A14" s="2" t="s">
        <v>73</v>
      </c>
      <c r="B14" s="25" t="s">
        <v>74</v>
      </c>
      <c r="C14" s="2" t="s">
        <v>75</v>
      </c>
      <c r="D14" s="4">
        <v>213778622</v>
      </c>
      <c r="E14" s="4" t="s">
        <v>41</v>
      </c>
      <c r="F14" s="2" t="s">
        <v>70</v>
      </c>
      <c r="G14" s="2">
        <v>500.971</v>
      </c>
      <c r="H14" s="5">
        <v>20</v>
      </c>
      <c r="I14" s="5">
        <v>40</v>
      </c>
      <c r="J14" s="2" t="s">
        <v>53</v>
      </c>
      <c r="K14" s="2" t="s">
        <v>44</v>
      </c>
      <c r="L14" s="2" t="s">
        <v>28</v>
      </c>
    </row>
    <row r="16" spans="1:15" x14ac:dyDescent="0.3">
      <c r="A16" s="2" t="s">
        <v>49</v>
      </c>
      <c r="B16" s="25" t="s">
        <v>76</v>
      </c>
      <c r="C16" s="25" t="s">
        <v>77</v>
      </c>
      <c r="F16" s="25" t="s">
        <v>78</v>
      </c>
      <c r="G16" s="20">
        <v>50</v>
      </c>
      <c r="H16" s="5">
        <v>2</v>
      </c>
      <c r="J16" s="2" t="s">
        <v>79</v>
      </c>
      <c r="L16" s="2" t="s">
        <v>28</v>
      </c>
      <c r="M16" s="2" t="s">
        <v>80</v>
      </c>
    </row>
    <row r="17" spans="1:13" x14ac:dyDescent="0.3">
      <c r="A17" s="2" t="s">
        <v>49</v>
      </c>
      <c r="B17" s="25" t="s">
        <v>81</v>
      </c>
      <c r="C17" s="25" t="s">
        <v>82</v>
      </c>
      <c r="F17" s="25" t="s">
        <v>83</v>
      </c>
      <c r="G17" s="20">
        <v>9.9760000000000009</v>
      </c>
      <c r="H17" s="5">
        <v>1</v>
      </c>
      <c r="L17" s="2" t="s">
        <v>28</v>
      </c>
    </row>
    <row r="18" spans="1:13" x14ac:dyDescent="0.3">
      <c r="A18" s="2" t="s">
        <v>49</v>
      </c>
      <c r="B18" s="25" t="s">
        <v>81</v>
      </c>
      <c r="C18" s="25" t="s">
        <v>82</v>
      </c>
      <c r="F18" s="25" t="s">
        <v>84</v>
      </c>
      <c r="G18" s="20">
        <v>10</v>
      </c>
      <c r="H18" s="5">
        <v>1</v>
      </c>
      <c r="L18" s="2" t="s">
        <v>28</v>
      </c>
    </row>
    <row r="19" spans="1:13" x14ac:dyDescent="0.3">
      <c r="A19" s="2" t="s">
        <v>49</v>
      </c>
      <c r="B19" s="25" t="s">
        <v>81</v>
      </c>
      <c r="C19" s="25" t="s">
        <v>82</v>
      </c>
      <c r="F19" s="25" t="s">
        <v>84</v>
      </c>
      <c r="G19" s="20">
        <v>1</v>
      </c>
      <c r="L19" s="2" t="s">
        <v>28</v>
      </c>
    </row>
    <row r="21" spans="1:13" x14ac:dyDescent="0.3">
      <c r="A21" s="2" t="s">
        <v>38</v>
      </c>
      <c r="B21" s="20" t="s">
        <v>85</v>
      </c>
      <c r="C21" s="6" t="s">
        <v>86</v>
      </c>
      <c r="D21" s="4">
        <v>214186217</v>
      </c>
      <c r="E21" s="4" t="s">
        <v>41</v>
      </c>
      <c r="F21" s="20" t="s">
        <v>87</v>
      </c>
      <c r="G21" s="20">
        <v>523.69000000000005</v>
      </c>
      <c r="H21" s="5">
        <v>20</v>
      </c>
      <c r="I21" s="5">
        <v>40</v>
      </c>
      <c r="J21" s="14" t="s">
        <v>63</v>
      </c>
      <c r="K21" s="2" t="s">
        <v>64</v>
      </c>
      <c r="L21" s="2" t="s">
        <v>28</v>
      </c>
      <c r="M21" s="2" t="s">
        <v>88</v>
      </c>
    </row>
    <row r="22" spans="1:13" x14ac:dyDescent="0.3">
      <c r="A22" s="2" t="s">
        <v>38</v>
      </c>
      <c r="B22" s="25" t="s">
        <v>89</v>
      </c>
      <c r="C22" s="6" t="s">
        <v>90</v>
      </c>
      <c r="D22" s="4" t="s">
        <v>91</v>
      </c>
      <c r="F22" s="16" t="s">
        <v>92</v>
      </c>
      <c r="G22" s="120">
        <v>21</v>
      </c>
      <c r="H22" s="5">
        <v>1</v>
      </c>
      <c r="I22" s="5">
        <v>20</v>
      </c>
      <c r="J22" s="25" t="s">
        <v>43</v>
      </c>
      <c r="K22" s="2" t="s">
        <v>79</v>
      </c>
      <c r="L22" s="2" t="s">
        <v>28</v>
      </c>
      <c r="M22" s="2" t="s">
        <v>93</v>
      </c>
    </row>
    <row r="24" spans="1:13" ht="15.6" x14ac:dyDescent="0.3">
      <c r="A24" s="2" t="s">
        <v>60</v>
      </c>
      <c r="B24" s="25" t="s">
        <v>94</v>
      </c>
      <c r="C24" s="12" t="s">
        <v>95</v>
      </c>
      <c r="D24" s="4" t="s">
        <v>96</v>
      </c>
      <c r="E24" s="4" t="s">
        <v>97</v>
      </c>
      <c r="F24" s="16" t="s">
        <v>92</v>
      </c>
      <c r="G24" s="120">
        <v>21</v>
      </c>
      <c r="H24" s="5">
        <v>1</v>
      </c>
      <c r="I24" s="5">
        <v>20</v>
      </c>
      <c r="J24" s="25" t="s">
        <v>98</v>
      </c>
      <c r="K24" s="2" t="s">
        <v>99</v>
      </c>
      <c r="L24" s="2" t="s">
        <v>28</v>
      </c>
      <c r="M24" s="2" t="s">
        <v>93</v>
      </c>
    </row>
    <row r="25" spans="1:13" ht="15.6" x14ac:dyDescent="0.3">
      <c r="A25" s="2" t="s">
        <v>60</v>
      </c>
      <c r="B25" s="25" t="s">
        <v>94</v>
      </c>
      <c r="C25" s="31" t="s">
        <v>100</v>
      </c>
      <c r="D25" s="4" t="s">
        <v>101</v>
      </c>
      <c r="F25" s="16" t="s">
        <v>102</v>
      </c>
      <c r="G25" s="120">
        <v>17</v>
      </c>
      <c r="H25" s="34">
        <v>1</v>
      </c>
      <c r="I25" s="34">
        <v>20</v>
      </c>
      <c r="J25" s="25" t="s">
        <v>98</v>
      </c>
      <c r="K25" s="2" t="s">
        <v>99</v>
      </c>
      <c r="L25" s="25" t="s">
        <v>28</v>
      </c>
      <c r="M25" s="2" t="s">
        <v>93</v>
      </c>
    </row>
    <row r="27" spans="1:13" x14ac:dyDescent="0.3">
      <c r="A27" s="2" t="s">
        <v>60</v>
      </c>
      <c r="B27" s="25" t="s">
        <v>103</v>
      </c>
      <c r="C27" s="4" t="s">
        <v>104</v>
      </c>
      <c r="D27" s="176" t="s">
        <v>105</v>
      </c>
      <c r="E27" s="176" t="s">
        <v>41</v>
      </c>
      <c r="F27" s="25" t="s">
        <v>106</v>
      </c>
      <c r="G27" s="25">
        <v>114.76</v>
      </c>
      <c r="H27" s="5">
        <v>5</v>
      </c>
      <c r="I27" s="5">
        <v>20</v>
      </c>
      <c r="J27" s="20" t="s">
        <v>79</v>
      </c>
      <c r="K27" s="2" t="s">
        <v>107</v>
      </c>
      <c r="L27" s="2" t="s">
        <v>28</v>
      </c>
      <c r="M27" s="177" t="s">
        <v>108</v>
      </c>
    </row>
    <row r="29" spans="1:13" x14ac:dyDescent="0.3">
      <c r="A29" s="2" t="s">
        <v>38</v>
      </c>
      <c r="B29" s="25" t="s">
        <v>109</v>
      </c>
      <c r="C29" s="25" t="s">
        <v>110</v>
      </c>
      <c r="D29" s="4" t="s">
        <v>111</v>
      </c>
      <c r="E29" s="4" t="s">
        <v>112</v>
      </c>
      <c r="F29" s="16" t="s">
        <v>113</v>
      </c>
      <c r="G29" s="20">
        <v>357.79</v>
      </c>
      <c r="H29" s="5">
        <v>15</v>
      </c>
      <c r="I29" s="5">
        <v>20</v>
      </c>
      <c r="J29" s="14" t="s">
        <v>114</v>
      </c>
      <c r="K29" s="2" t="s">
        <v>115</v>
      </c>
      <c r="L29" s="20" t="s">
        <v>28</v>
      </c>
    </row>
    <row r="31" spans="1:13" x14ac:dyDescent="0.3">
      <c r="A31" s="2" t="s">
        <v>60</v>
      </c>
      <c r="B31" s="20" t="s">
        <v>116</v>
      </c>
      <c r="C31" s="13" t="s">
        <v>117</v>
      </c>
      <c r="D31" s="21">
        <v>213784666</v>
      </c>
      <c r="E31" s="21" t="s">
        <v>41</v>
      </c>
      <c r="F31" s="20" t="s">
        <v>118</v>
      </c>
      <c r="G31" s="20">
        <v>526.66999999999996</v>
      </c>
      <c r="H31" s="5">
        <v>23</v>
      </c>
      <c r="I31" s="5">
        <v>20</v>
      </c>
      <c r="J31" s="20" t="s">
        <v>119</v>
      </c>
      <c r="K31" s="2" t="s">
        <v>120</v>
      </c>
      <c r="L31" s="2" t="s">
        <v>121</v>
      </c>
      <c r="M31" s="2" t="s">
        <v>122</v>
      </c>
    </row>
    <row r="33" spans="1:14" x14ac:dyDescent="0.3">
      <c r="A33" s="2" t="s">
        <v>123</v>
      </c>
      <c r="B33" s="178" t="s">
        <v>124</v>
      </c>
      <c r="C33" s="2" t="s">
        <v>125</v>
      </c>
      <c r="D33" s="4" t="s">
        <v>126</v>
      </c>
      <c r="F33" s="46" t="s">
        <v>127</v>
      </c>
      <c r="G33" s="2">
        <v>30</v>
      </c>
      <c r="J33" s="2" t="s">
        <v>128</v>
      </c>
      <c r="L33" s="2" t="s">
        <v>28</v>
      </c>
      <c r="M33" s="2" t="s">
        <v>129</v>
      </c>
    </row>
    <row r="35" spans="1:14" x14ac:dyDescent="0.3">
      <c r="A35" s="2" t="s">
        <v>38</v>
      </c>
      <c r="B35" s="25" t="s">
        <v>130</v>
      </c>
      <c r="C35" s="25" t="s">
        <v>131</v>
      </c>
      <c r="D35" s="67" t="s">
        <v>132</v>
      </c>
      <c r="E35" s="67" t="s">
        <v>41</v>
      </c>
      <c r="F35" s="25" t="s">
        <v>87</v>
      </c>
      <c r="G35" s="20">
        <v>50</v>
      </c>
      <c r="H35" s="5">
        <v>2</v>
      </c>
      <c r="I35" s="5">
        <v>20</v>
      </c>
      <c r="J35" s="14" t="s">
        <v>44</v>
      </c>
      <c r="K35" s="2" t="s">
        <v>133</v>
      </c>
      <c r="L35" s="2" t="s">
        <v>134</v>
      </c>
      <c r="M35" s="2" t="s">
        <v>129</v>
      </c>
    </row>
    <row r="37" spans="1:14" ht="15.6" x14ac:dyDescent="0.3">
      <c r="A37" s="2" t="s">
        <v>38</v>
      </c>
      <c r="B37" s="11" t="s">
        <v>116</v>
      </c>
      <c r="C37" s="6" t="s">
        <v>135</v>
      </c>
      <c r="D37" s="21" t="s">
        <v>136</v>
      </c>
      <c r="E37" s="21" t="s">
        <v>41</v>
      </c>
      <c r="F37" s="7" t="s">
        <v>137</v>
      </c>
      <c r="G37" s="14">
        <v>22</v>
      </c>
      <c r="H37" s="5">
        <v>1</v>
      </c>
      <c r="I37" s="5">
        <v>20</v>
      </c>
      <c r="J37" s="14" t="s">
        <v>138</v>
      </c>
      <c r="K37" s="2" t="s">
        <v>139</v>
      </c>
      <c r="L37" s="2" t="s">
        <v>28</v>
      </c>
      <c r="M37" s="2" t="s">
        <v>129</v>
      </c>
    </row>
    <row r="39" spans="1:14" x14ac:dyDescent="0.3">
      <c r="A39" s="2" t="s">
        <v>60</v>
      </c>
      <c r="B39" s="179" t="s">
        <v>140</v>
      </c>
      <c r="C39" s="19" t="s">
        <v>141</v>
      </c>
      <c r="D39" s="4" t="s">
        <v>142</v>
      </c>
      <c r="E39" s="4" t="s">
        <v>112</v>
      </c>
      <c r="F39" s="17" t="s">
        <v>143</v>
      </c>
      <c r="G39" s="2">
        <v>125</v>
      </c>
      <c r="H39" s="5">
        <v>5</v>
      </c>
      <c r="I39" s="5">
        <v>20</v>
      </c>
      <c r="J39" s="20" t="s">
        <v>114</v>
      </c>
      <c r="K39" s="2" t="s">
        <v>115</v>
      </c>
      <c r="L39" s="2" t="s">
        <v>28</v>
      </c>
      <c r="M39" s="2" t="s">
        <v>144</v>
      </c>
    </row>
    <row r="41" spans="1:14" x14ac:dyDescent="0.3">
      <c r="A41" s="2" t="s">
        <v>60</v>
      </c>
      <c r="B41" s="25" t="s">
        <v>145</v>
      </c>
      <c r="C41" s="29" t="s">
        <v>146</v>
      </c>
      <c r="D41" s="67" t="s">
        <v>147</v>
      </c>
      <c r="E41" s="67" t="s">
        <v>41</v>
      </c>
      <c r="F41" s="25" t="s">
        <v>106</v>
      </c>
      <c r="G41" s="180">
        <v>273.76</v>
      </c>
      <c r="H41" s="34">
        <v>11</v>
      </c>
      <c r="I41" s="34">
        <v>20</v>
      </c>
      <c r="J41" s="20" t="s">
        <v>138</v>
      </c>
      <c r="K41" s="2" t="s">
        <v>139</v>
      </c>
      <c r="L41" s="2" t="s">
        <v>28</v>
      </c>
      <c r="M41" s="2" t="s">
        <v>148</v>
      </c>
      <c r="N41" s="2" t="s">
        <v>119</v>
      </c>
    </row>
    <row r="43" spans="1:14" x14ac:dyDescent="0.3">
      <c r="A43" s="2" t="s">
        <v>38</v>
      </c>
      <c r="B43" s="20" t="s">
        <v>149</v>
      </c>
      <c r="C43" s="41" t="s">
        <v>150</v>
      </c>
      <c r="D43" s="4" t="s">
        <v>151</v>
      </c>
      <c r="F43" s="20" t="s">
        <v>152</v>
      </c>
      <c r="G43" s="120">
        <v>20</v>
      </c>
      <c r="H43" s="5">
        <v>1</v>
      </c>
      <c r="I43" s="5">
        <v>20</v>
      </c>
      <c r="J43" s="25" t="s">
        <v>153</v>
      </c>
      <c r="K43" s="2" t="s">
        <v>154</v>
      </c>
      <c r="L43" s="20" t="s">
        <v>28</v>
      </c>
      <c r="M43" s="2" t="s">
        <v>155</v>
      </c>
      <c r="N43" s="2" t="s">
        <v>156</v>
      </c>
    </row>
    <row r="45" spans="1:14" x14ac:dyDescent="0.3">
      <c r="A45" s="2" t="s">
        <v>60</v>
      </c>
      <c r="B45" s="25" t="s">
        <v>157</v>
      </c>
      <c r="C45" s="20" t="s">
        <v>158</v>
      </c>
      <c r="D45" s="4">
        <v>213734316</v>
      </c>
      <c r="E45" s="4" t="s">
        <v>41</v>
      </c>
      <c r="F45" s="7" t="s">
        <v>42</v>
      </c>
      <c r="G45" s="20">
        <v>414.54500000000002</v>
      </c>
      <c r="H45" s="5">
        <v>16</v>
      </c>
      <c r="I45" s="5">
        <v>40</v>
      </c>
      <c r="J45" s="20" t="s">
        <v>115</v>
      </c>
      <c r="K45" s="2" t="s">
        <v>159</v>
      </c>
      <c r="L45" s="2" t="s">
        <v>28</v>
      </c>
      <c r="M45" s="2" t="s">
        <v>160</v>
      </c>
    </row>
    <row r="47" spans="1:14" x14ac:dyDescent="0.3">
      <c r="A47" s="2" t="s">
        <v>123</v>
      </c>
      <c r="B47" s="25" t="s">
        <v>161</v>
      </c>
      <c r="C47" s="16" t="s">
        <v>162</v>
      </c>
      <c r="D47" s="4">
        <v>608795798</v>
      </c>
      <c r="E47" s="4" t="s">
        <v>41</v>
      </c>
      <c r="F47" s="25" t="s">
        <v>163</v>
      </c>
      <c r="G47" s="20">
        <v>32</v>
      </c>
      <c r="H47" s="5">
        <v>2</v>
      </c>
      <c r="I47" s="5">
        <v>20</v>
      </c>
      <c r="J47" s="19" t="s">
        <v>138</v>
      </c>
      <c r="K47" s="2" t="s">
        <v>164</v>
      </c>
      <c r="L47" s="2" t="s">
        <v>28</v>
      </c>
      <c r="M47" s="2" t="s">
        <v>165</v>
      </c>
    </row>
    <row r="48" spans="1:14" x14ac:dyDescent="0.3">
      <c r="A48" s="2" t="s">
        <v>123</v>
      </c>
      <c r="B48" s="178" t="s">
        <v>166</v>
      </c>
      <c r="C48" s="2" t="s">
        <v>167</v>
      </c>
      <c r="D48" s="4" t="s">
        <v>168</v>
      </c>
      <c r="F48" s="51" t="s">
        <v>169</v>
      </c>
      <c r="G48" s="25">
        <v>56</v>
      </c>
      <c r="H48" s="5">
        <v>2</v>
      </c>
      <c r="J48" s="2" t="s">
        <v>170</v>
      </c>
      <c r="L48" s="2" t="s">
        <v>171</v>
      </c>
    </row>
    <row r="49" spans="1:14" x14ac:dyDescent="0.3">
      <c r="A49" s="2" t="s">
        <v>123</v>
      </c>
      <c r="B49" s="178" t="s">
        <v>166</v>
      </c>
      <c r="C49" s="2" t="s">
        <v>172</v>
      </c>
      <c r="D49" s="4">
        <v>397</v>
      </c>
      <c r="F49" s="46" t="s">
        <v>173</v>
      </c>
      <c r="G49" s="25">
        <v>28</v>
      </c>
      <c r="H49" s="5">
        <v>1</v>
      </c>
      <c r="J49" s="2" t="s">
        <v>170</v>
      </c>
      <c r="L49" s="2" t="s">
        <v>171</v>
      </c>
    </row>
    <row r="51" spans="1:14" x14ac:dyDescent="0.3">
      <c r="A51" s="2" t="s">
        <v>55</v>
      </c>
      <c r="B51" s="25" t="s">
        <v>89</v>
      </c>
      <c r="C51" s="4" t="s">
        <v>174</v>
      </c>
      <c r="D51" s="4" t="s">
        <v>175</v>
      </c>
      <c r="E51" s="4" t="s">
        <v>176</v>
      </c>
      <c r="F51" s="16" t="s">
        <v>102</v>
      </c>
      <c r="G51" s="120">
        <v>17</v>
      </c>
      <c r="H51" s="5">
        <v>1</v>
      </c>
      <c r="I51" s="5">
        <v>20</v>
      </c>
      <c r="J51" s="25" t="s">
        <v>177</v>
      </c>
      <c r="K51" s="2" t="s">
        <v>178</v>
      </c>
      <c r="L51" s="20" t="s">
        <v>121</v>
      </c>
      <c r="M51" s="2" t="s">
        <v>179</v>
      </c>
      <c r="N51" s="2" t="s">
        <v>180</v>
      </c>
    </row>
    <row r="52" spans="1:14" x14ac:dyDescent="0.3">
      <c r="A52" s="2" t="s">
        <v>55</v>
      </c>
      <c r="B52" s="25" t="s">
        <v>89</v>
      </c>
      <c r="C52" s="4" t="s">
        <v>181</v>
      </c>
      <c r="D52" s="4" t="s">
        <v>182</v>
      </c>
      <c r="E52" s="4" t="s">
        <v>176</v>
      </c>
      <c r="F52" s="16" t="s">
        <v>102</v>
      </c>
      <c r="G52" s="120">
        <v>17</v>
      </c>
      <c r="H52" s="5">
        <v>1</v>
      </c>
      <c r="I52" s="5">
        <v>20</v>
      </c>
      <c r="J52" s="25" t="s">
        <v>177</v>
      </c>
      <c r="K52" s="2" t="s">
        <v>178</v>
      </c>
      <c r="L52" s="20" t="s">
        <v>121</v>
      </c>
    </row>
    <row r="54" spans="1:14" x14ac:dyDescent="0.3">
      <c r="A54" s="2" t="s">
        <v>55</v>
      </c>
      <c r="B54" s="20" t="s">
        <v>183</v>
      </c>
      <c r="C54" s="6" t="s">
        <v>184</v>
      </c>
      <c r="D54" s="6" t="s">
        <v>185</v>
      </c>
      <c r="E54" s="6"/>
      <c r="F54" s="7" t="s">
        <v>186</v>
      </c>
      <c r="G54" s="14">
        <v>500</v>
      </c>
      <c r="L54" s="2" t="s">
        <v>28</v>
      </c>
      <c r="M54" s="2" t="s">
        <v>179</v>
      </c>
      <c r="N54" s="2" t="s">
        <v>180</v>
      </c>
    </row>
    <row r="56" spans="1:14" ht="15.6" x14ac:dyDescent="0.3">
      <c r="A56" s="2" t="s">
        <v>60</v>
      </c>
      <c r="B56" s="25" t="s">
        <v>94</v>
      </c>
      <c r="C56" s="33" t="s">
        <v>187</v>
      </c>
      <c r="D56" s="4" t="s">
        <v>188</v>
      </c>
      <c r="E56" s="4" t="s">
        <v>189</v>
      </c>
      <c r="F56" s="16" t="s">
        <v>102</v>
      </c>
      <c r="G56" s="181">
        <v>17</v>
      </c>
      <c r="H56" s="34">
        <v>1</v>
      </c>
      <c r="I56" s="34">
        <v>20</v>
      </c>
      <c r="J56" s="25" t="s">
        <v>177</v>
      </c>
      <c r="K56" s="2" t="s">
        <v>190</v>
      </c>
      <c r="L56" s="2" t="s">
        <v>28</v>
      </c>
      <c r="M56" s="2" t="s">
        <v>180</v>
      </c>
      <c r="N56" s="2" t="s">
        <v>191</v>
      </c>
    </row>
    <row r="58" spans="1:14" x14ac:dyDescent="0.3">
      <c r="A58" s="2" t="s">
        <v>38</v>
      </c>
      <c r="B58" s="25" t="s">
        <v>89</v>
      </c>
      <c r="C58" s="6" t="s">
        <v>192</v>
      </c>
      <c r="D58" s="4" t="s">
        <v>193</v>
      </c>
      <c r="E58" s="4" t="s">
        <v>97</v>
      </c>
      <c r="F58" s="16" t="s">
        <v>102</v>
      </c>
      <c r="G58" s="120">
        <v>17</v>
      </c>
      <c r="H58" s="5">
        <v>1</v>
      </c>
      <c r="I58" s="5">
        <v>20</v>
      </c>
      <c r="J58" s="25" t="s">
        <v>194</v>
      </c>
      <c r="K58" s="2" t="s">
        <v>190</v>
      </c>
      <c r="L58" s="20" t="s">
        <v>28</v>
      </c>
      <c r="M58" s="2" t="s">
        <v>154</v>
      </c>
      <c r="N58" s="2" t="s">
        <v>155</v>
      </c>
    </row>
    <row r="59" spans="1:14" x14ac:dyDescent="0.3">
      <c r="A59" s="2" t="s">
        <v>38</v>
      </c>
      <c r="B59" s="25" t="s">
        <v>94</v>
      </c>
      <c r="C59" s="37" t="s">
        <v>195</v>
      </c>
      <c r="D59" s="4" t="s">
        <v>196</v>
      </c>
      <c r="E59" s="4" t="s">
        <v>97</v>
      </c>
      <c r="F59" s="16" t="s">
        <v>92</v>
      </c>
      <c r="G59" s="120">
        <v>21</v>
      </c>
      <c r="H59" s="5">
        <v>1</v>
      </c>
      <c r="I59" s="5">
        <v>20</v>
      </c>
      <c r="J59" s="20" t="s">
        <v>197</v>
      </c>
      <c r="K59" s="2" t="s">
        <v>190</v>
      </c>
      <c r="L59" s="20" t="s">
        <v>28</v>
      </c>
      <c r="M59" s="2" t="s">
        <v>154</v>
      </c>
      <c r="N59" s="2" t="s">
        <v>155</v>
      </c>
    </row>
    <row r="60" spans="1:14" x14ac:dyDescent="0.3">
      <c r="A60" s="2" t="s">
        <v>38</v>
      </c>
      <c r="B60" s="25" t="s">
        <v>130</v>
      </c>
      <c r="C60" s="15" t="s">
        <v>198</v>
      </c>
      <c r="D60" s="67" t="s">
        <v>199</v>
      </c>
      <c r="E60" s="67" t="s">
        <v>41</v>
      </c>
      <c r="F60" s="25" t="s">
        <v>87</v>
      </c>
      <c r="G60" s="20">
        <v>1003.3630000000001</v>
      </c>
      <c r="H60" s="5">
        <v>40</v>
      </c>
      <c r="I60" s="5">
        <v>20</v>
      </c>
      <c r="J60" s="25" t="s">
        <v>154</v>
      </c>
      <c r="K60" s="2" t="s">
        <v>200</v>
      </c>
      <c r="L60" s="20" t="s">
        <v>28</v>
      </c>
      <c r="M60" s="2" t="s">
        <v>201</v>
      </c>
      <c r="N60" s="2" t="s">
        <v>164</v>
      </c>
    </row>
    <row r="62" spans="1:14" x14ac:dyDescent="0.3">
      <c r="A62" s="2" t="s">
        <v>60</v>
      </c>
      <c r="B62" s="20" t="s">
        <v>202</v>
      </c>
      <c r="C62" s="20" t="s">
        <v>203</v>
      </c>
      <c r="D62" s="4" t="s">
        <v>204</v>
      </c>
      <c r="F62" s="20" t="s">
        <v>205</v>
      </c>
      <c r="G62" s="182">
        <v>30</v>
      </c>
      <c r="H62" s="5">
        <v>1</v>
      </c>
      <c r="J62" s="61" t="s">
        <v>180</v>
      </c>
      <c r="L62" s="2" t="s">
        <v>28</v>
      </c>
      <c r="M62" s="2" t="s">
        <v>191</v>
      </c>
    </row>
    <row r="63" spans="1:14" ht="15.6" x14ac:dyDescent="0.3">
      <c r="A63" s="2" t="s">
        <v>60</v>
      </c>
      <c r="B63" s="11" t="s">
        <v>206</v>
      </c>
      <c r="C63" s="2" t="s">
        <v>207</v>
      </c>
      <c r="D63" s="4" t="s">
        <v>208</v>
      </c>
      <c r="F63" s="2" t="s">
        <v>209</v>
      </c>
      <c r="G63" s="2">
        <v>50.16</v>
      </c>
      <c r="H63" s="5">
        <v>2</v>
      </c>
      <c r="J63" s="59" t="s">
        <v>133</v>
      </c>
      <c r="L63" s="2" t="s">
        <v>121</v>
      </c>
      <c r="M63" s="2" t="s">
        <v>210</v>
      </c>
    </row>
    <row r="64" spans="1:14" x14ac:dyDescent="0.3">
      <c r="A64" s="2" t="s">
        <v>60</v>
      </c>
      <c r="B64" s="20" t="s">
        <v>202</v>
      </c>
      <c r="C64" s="20"/>
      <c r="D64" s="4" t="s">
        <v>211</v>
      </c>
      <c r="F64" s="20" t="s">
        <v>205</v>
      </c>
      <c r="G64" s="182">
        <v>30</v>
      </c>
      <c r="H64" s="5">
        <v>1</v>
      </c>
      <c r="J64" s="61" t="s">
        <v>133</v>
      </c>
      <c r="L64" s="2" t="s">
        <v>212</v>
      </c>
      <c r="M64" s="2" t="s">
        <v>191</v>
      </c>
    </row>
    <row r="66" spans="1:15" x14ac:dyDescent="0.3">
      <c r="A66" s="2" t="s">
        <v>38</v>
      </c>
      <c r="B66" s="25" t="s">
        <v>85</v>
      </c>
      <c r="C66" s="25" t="s">
        <v>213</v>
      </c>
      <c r="D66" s="21" t="s">
        <v>214</v>
      </c>
      <c r="E66" s="21" t="s">
        <v>41</v>
      </c>
      <c r="F66" s="25" t="s">
        <v>87</v>
      </c>
      <c r="G66" s="20">
        <v>516.27099999999996</v>
      </c>
      <c r="H66" s="5">
        <v>20</v>
      </c>
      <c r="I66" s="5">
        <v>40</v>
      </c>
      <c r="J66" s="20" t="s">
        <v>215</v>
      </c>
      <c r="K66" s="2" t="s">
        <v>216</v>
      </c>
      <c r="L66" s="20" t="s">
        <v>28</v>
      </c>
      <c r="M66" s="20" t="s">
        <v>217</v>
      </c>
      <c r="N66" s="20"/>
      <c r="O66" s="20" t="s">
        <v>218</v>
      </c>
    </row>
    <row r="67" spans="1:15" x14ac:dyDescent="0.3">
      <c r="A67" s="2" t="s">
        <v>38</v>
      </c>
      <c r="B67" s="25" t="s">
        <v>149</v>
      </c>
      <c r="C67" s="4" t="s">
        <v>219</v>
      </c>
      <c r="D67" s="4" t="s">
        <v>220</v>
      </c>
      <c r="F67" s="25" t="s">
        <v>152</v>
      </c>
      <c r="G67" s="120">
        <v>20</v>
      </c>
      <c r="H67" s="5">
        <v>1</v>
      </c>
      <c r="I67" s="5">
        <v>20</v>
      </c>
      <c r="J67" s="2" t="s">
        <v>221</v>
      </c>
      <c r="K67" s="2" t="s">
        <v>216</v>
      </c>
      <c r="L67" s="20" t="s">
        <v>222</v>
      </c>
      <c r="M67" s="2" t="s">
        <v>223</v>
      </c>
      <c r="N67" s="2" t="s">
        <v>224</v>
      </c>
    </row>
    <row r="69" spans="1:15" x14ac:dyDescent="0.3">
      <c r="A69" s="2" t="s">
        <v>60</v>
      </c>
      <c r="B69" s="20" t="s">
        <v>149</v>
      </c>
      <c r="C69" s="6" t="s">
        <v>225</v>
      </c>
      <c r="D69" s="4" t="s">
        <v>226</v>
      </c>
      <c r="F69" s="20" t="s">
        <v>152</v>
      </c>
      <c r="G69" s="120">
        <v>20</v>
      </c>
      <c r="H69" s="34">
        <v>1</v>
      </c>
      <c r="I69" s="34">
        <v>20</v>
      </c>
      <c r="J69" s="59" t="s">
        <v>227</v>
      </c>
      <c r="K69" s="2" t="s">
        <v>228</v>
      </c>
      <c r="L69" s="2" t="s">
        <v>229</v>
      </c>
      <c r="M69" s="2" t="s">
        <v>191</v>
      </c>
      <c r="N69" s="2" t="s">
        <v>223</v>
      </c>
    </row>
    <row r="71" spans="1:15" x14ac:dyDescent="0.3">
      <c r="A71" s="2" t="s">
        <v>123</v>
      </c>
      <c r="B71" s="597" t="s">
        <v>230</v>
      </c>
      <c r="C71" s="592" t="s">
        <v>231</v>
      </c>
      <c r="F71" s="25" t="s">
        <v>127</v>
      </c>
      <c r="G71" s="25">
        <v>29.9</v>
      </c>
      <c r="H71" s="5">
        <v>1</v>
      </c>
      <c r="J71" s="2" t="s">
        <v>215</v>
      </c>
      <c r="L71" s="2" t="s">
        <v>28</v>
      </c>
      <c r="M71" s="2" t="s">
        <v>232</v>
      </c>
    </row>
    <row r="72" spans="1:15" x14ac:dyDescent="0.3">
      <c r="A72" s="2" t="s">
        <v>123</v>
      </c>
      <c r="B72" s="597"/>
      <c r="C72" s="592"/>
      <c r="F72" s="58" t="s">
        <v>233</v>
      </c>
      <c r="G72" s="25">
        <v>100</v>
      </c>
      <c r="J72" s="2" t="s">
        <v>215</v>
      </c>
      <c r="L72" s="2" t="s">
        <v>28</v>
      </c>
    </row>
    <row r="74" spans="1:15" ht="28.8" x14ac:dyDescent="0.3">
      <c r="A74" s="2" t="s">
        <v>38</v>
      </c>
      <c r="B74" s="11" t="s">
        <v>39</v>
      </c>
      <c r="C74" s="6" t="s">
        <v>234</v>
      </c>
      <c r="D74" s="4">
        <v>214542084</v>
      </c>
      <c r="E74" s="4" t="s">
        <v>41</v>
      </c>
      <c r="F74" s="7" t="s">
        <v>42</v>
      </c>
      <c r="G74" s="183">
        <v>464.90600000000001</v>
      </c>
      <c r="H74" s="5">
        <v>18</v>
      </c>
      <c r="I74" s="5">
        <v>40</v>
      </c>
      <c r="J74" s="20" t="s">
        <v>215</v>
      </c>
      <c r="K74" s="2" t="s">
        <v>216</v>
      </c>
      <c r="L74" s="24" t="s">
        <v>235</v>
      </c>
      <c r="M74" s="2" t="s">
        <v>236</v>
      </c>
    </row>
    <row r="75" spans="1:15" x14ac:dyDescent="0.3">
      <c r="A75" s="2" t="s">
        <v>38</v>
      </c>
      <c r="B75" s="25" t="s">
        <v>85</v>
      </c>
      <c r="C75" s="25" t="s">
        <v>237</v>
      </c>
      <c r="D75" s="67" t="s">
        <v>238</v>
      </c>
      <c r="E75" s="67" t="s">
        <v>41</v>
      </c>
      <c r="F75" s="25" t="s">
        <v>87</v>
      </c>
      <c r="G75" s="25">
        <v>525.20600000000002</v>
      </c>
      <c r="H75" s="5">
        <v>20</v>
      </c>
      <c r="I75" s="5">
        <v>40</v>
      </c>
      <c r="J75" s="20" t="s">
        <v>215</v>
      </c>
      <c r="K75" s="2" t="s">
        <v>216</v>
      </c>
      <c r="L75" s="20" t="s">
        <v>28</v>
      </c>
      <c r="M75" s="2" t="s">
        <v>239</v>
      </c>
    </row>
    <row r="77" spans="1:15" x14ac:dyDescent="0.3">
      <c r="A77" s="2" t="s">
        <v>60</v>
      </c>
      <c r="B77" s="20" t="s">
        <v>240</v>
      </c>
      <c r="C77" s="6" t="s">
        <v>241</v>
      </c>
      <c r="D77" s="21" t="s">
        <v>242</v>
      </c>
      <c r="E77" s="21" t="s">
        <v>41</v>
      </c>
      <c r="F77" s="20" t="s">
        <v>243</v>
      </c>
      <c r="G77" s="20">
        <v>78.959999999999994</v>
      </c>
      <c r="H77" s="5">
        <v>3</v>
      </c>
      <c r="I77" s="5">
        <v>20</v>
      </c>
      <c r="J77" s="61" t="s">
        <v>223</v>
      </c>
      <c r="K77" s="2" t="s">
        <v>228</v>
      </c>
      <c r="L77" s="2" t="s">
        <v>28</v>
      </c>
      <c r="M77" s="2" t="s">
        <v>191</v>
      </c>
      <c r="N77" s="2" t="s">
        <v>244</v>
      </c>
    </row>
    <row r="78" spans="1:15" x14ac:dyDescent="0.3">
      <c r="A78" s="2" t="s">
        <v>245</v>
      </c>
      <c r="B78" s="25" t="s">
        <v>157</v>
      </c>
      <c r="C78" s="20" t="s">
        <v>158</v>
      </c>
      <c r="D78" s="35">
        <v>214630209</v>
      </c>
      <c r="E78" s="35" t="s">
        <v>41</v>
      </c>
      <c r="F78" s="16" t="s">
        <v>42</v>
      </c>
      <c r="G78" s="20">
        <v>103.428</v>
      </c>
      <c r="H78" s="5">
        <v>4</v>
      </c>
      <c r="I78" s="5">
        <v>40</v>
      </c>
      <c r="J78" s="61" t="s">
        <v>223</v>
      </c>
      <c r="K78" s="2" t="s">
        <v>228</v>
      </c>
      <c r="L78" s="2" t="s">
        <v>28</v>
      </c>
      <c r="M78" s="2" t="s">
        <v>246</v>
      </c>
    </row>
    <row r="80" spans="1:15" x14ac:dyDescent="0.3">
      <c r="A80" s="2" t="s">
        <v>38</v>
      </c>
      <c r="B80" s="20" t="s">
        <v>85</v>
      </c>
      <c r="C80" s="20" t="s">
        <v>213</v>
      </c>
      <c r="D80" s="21" t="s">
        <v>247</v>
      </c>
      <c r="E80" s="21" t="s">
        <v>41</v>
      </c>
      <c r="F80" s="20" t="s">
        <v>87</v>
      </c>
      <c r="G80" s="20">
        <v>482.649</v>
      </c>
      <c r="H80" s="34">
        <v>19</v>
      </c>
      <c r="I80" s="34">
        <v>40</v>
      </c>
      <c r="J80" s="20" t="s">
        <v>159</v>
      </c>
      <c r="K80" s="2" t="s">
        <v>248</v>
      </c>
      <c r="L80" s="20" t="s">
        <v>249</v>
      </c>
      <c r="M80" s="20" t="s">
        <v>250</v>
      </c>
    </row>
    <row r="82" spans="1:14" x14ac:dyDescent="0.3">
      <c r="A82" s="2" t="s">
        <v>123</v>
      </c>
      <c r="B82" s="178" t="s">
        <v>166</v>
      </c>
      <c r="C82" s="2" t="s">
        <v>251</v>
      </c>
      <c r="D82" s="4" t="s">
        <v>252</v>
      </c>
      <c r="F82" s="45" t="s">
        <v>253</v>
      </c>
      <c r="G82" s="25">
        <v>56</v>
      </c>
      <c r="H82" s="5">
        <v>2</v>
      </c>
      <c r="J82" s="2" t="s">
        <v>254</v>
      </c>
      <c r="K82" s="2">
        <v>2</v>
      </c>
      <c r="L82" s="2" t="s">
        <v>28</v>
      </c>
      <c r="M82" s="2" t="s">
        <v>255</v>
      </c>
    </row>
    <row r="83" spans="1:14" x14ac:dyDescent="0.3">
      <c r="A83" s="2" t="s">
        <v>38</v>
      </c>
      <c r="B83" s="25" t="s">
        <v>109</v>
      </c>
      <c r="C83" s="25" t="s">
        <v>256</v>
      </c>
      <c r="D83" s="4" t="s">
        <v>257</v>
      </c>
      <c r="E83" s="4" t="s">
        <v>112</v>
      </c>
      <c r="F83" s="16" t="s">
        <v>113</v>
      </c>
      <c r="G83" s="20">
        <v>362.28</v>
      </c>
      <c r="H83" s="5">
        <v>15</v>
      </c>
      <c r="I83" s="5">
        <v>20</v>
      </c>
      <c r="J83" s="20" t="s">
        <v>244</v>
      </c>
      <c r="K83" s="2" t="s">
        <v>258</v>
      </c>
      <c r="L83" s="20" t="s">
        <v>259</v>
      </c>
      <c r="M83" s="20" t="s">
        <v>200</v>
      </c>
      <c r="N83" s="20"/>
    </row>
    <row r="84" spans="1:14" ht="15.6" x14ac:dyDescent="0.3">
      <c r="A84" s="2" t="s">
        <v>60</v>
      </c>
      <c r="B84" s="11" t="s">
        <v>39</v>
      </c>
      <c r="C84" s="20" t="s">
        <v>260</v>
      </c>
      <c r="D84" s="6">
        <v>214487829</v>
      </c>
      <c r="E84" s="6"/>
      <c r="F84" s="7" t="s">
        <v>42</v>
      </c>
      <c r="G84" s="184">
        <v>441.27199999999999</v>
      </c>
      <c r="H84" s="34">
        <v>17</v>
      </c>
      <c r="I84" s="34">
        <v>40</v>
      </c>
      <c r="J84" s="61" t="s">
        <v>159</v>
      </c>
      <c r="K84" s="2" t="s">
        <v>248</v>
      </c>
      <c r="L84" s="2" t="s">
        <v>28</v>
      </c>
      <c r="M84" s="2" t="s">
        <v>261</v>
      </c>
    </row>
    <row r="86" spans="1:14" x14ac:dyDescent="0.3">
      <c r="B86" s="20" t="s">
        <v>262</v>
      </c>
      <c r="C86" s="6" t="s">
        <v>263</v>
      </c>
      <c r="D86" s="4">
        <v>4253000029</v>
      </c>
      <c r="E86" s="4" t="s">
        <v>264</v>
      </c>
      <c r="F86" s="20" t="s">
        <v>265</v>
      </c>
      <c r="G86" s="180">
        <v>1.5</v>
      </c>
      <c r="J86" s="6" t="s">
        <v>215</v>
      </c>
      <c r="K86" s="2">
        <v>2</v>
      </c>
      <c r="L86" s="2" t="s">
        <v>28</v>
      </c>
    </row>
    <row r="87" spans="1:14" x14ac:dyDescent="0.3">
      <c r="B87" s="20" t="s">
        <v>262</v>
      </c>
      <c r="C87" s="6" t="s">
        <v>263</v>
      </c>
      <c r="D87" s="4">
        <v>4253000029</v>
      </c>
      <c r="E87" s="4" t="s">
        <v>266</v>
      </c>
      <c r="F87" s="20" t="s">
        <v>267</v>
      </c>
      <c r="G87" s="180">
        <v>1.5</v>
      </c>
      <c r="J87" s="6" t="s">
        <v>215</v>
      </c>
      <c r="K87" s="2">
        <v>2</v>
      </c>
      <c r="L87" s="2" t="s">
        <v>28</v>
      </c>
    </row>
    <row r="89" spans="1:14" x14ac:dyDescent="0.3">
      <c r="A89" s="2" t="s">
        <v>38</v>
      </c>
      <c r="B89" s="25" t="s">
        <v>109</v>
      </c>
      <c r="C89" s="25" t="s">
        <v>268</v>
      </c>
      <c r="D89" s="4" t="s">
        <v>269</v>
      </c>
      <c r="E89" s="4" t="s">
        <v>112</v>
      </c>
      <c r="F89" s="16" t="s">
        <v>113</v>
      </c>
      <c r="G89" s="20">
        <v>357.59</v>
      </c>
      <c r="H89" s="5">
        <v>15</v>
      </c>
      <c r="I89" s="5">
        <v>20</v>
      </c>
      <c r="J89" s="20" t="s">
        <v>244</v>
      </c>
      <c r="K89" s="2" t="s">
        <v>258</v>
      </c>
      <c r="L89" s="20" t="s">
        <v>28</v>
      </c>
      <c r="M89" s="20" t="s">
        <v>270</v>
      </c>
      <c r="N89" s="20"/>
    </row>
    <row r="90" spans="1:14" x14ac:dyDescent="0.3">
      <c r="A90" s="2" t="s">
        <v>38</v>
      </c>
      <c r="B90" s="20" t="s">
        <v>271</v>
      </c>
      <c r="C90" s="2" t="s">
        <v>272</v>
      </c>
      <c r="D90" s="4" t="s">
        <v>273</v>
      </c>
      <c r="F90" s="7" t="s">
        <v>274</v>
      </c>
      <c r="G90" s="183">
        <v>7.6749999999999998</v>
      </c>
      <c r="H90" s="5">
        <v>1</v>
      </c>
      <c r="I90" s="5">
        <v>20</v>
      </c>
      <c r="J90" s="6" t="s">
        <v>221</v>
      </c>
      <c r="K90" s="2" t="s">
        <v>258</v>
      </c>
      <c r="L90" s="2" t="s">
        <v>275</v>
      </c>
      <c r="M90" s="2" t="s">
        <v>276</v>
      </c>
      <c r="N90" s="2" t="s">
        <v>55</v>
      </c>
    </row>
    <row r="91" spans="1:14" ht="15.6" x14ac:dyDescent="0.3">
      <c r="A91" s="2" t="s">
        <v>38</v>
      </c>
      <c r="B91" s="11" t="s">
        <v>157</v>
      </c>
      <c r="C91" s="6" t="s">
        <v>277</v>
      </c>
      <c r="D91" s="21" t="s">
        <v>278</v>
      </c>
      <c r="E91" s="21" t="s">
        <v>41</v>
      </c>
      <c r="F91" s="7" t="s">
        <v>279</v>
      </c>
      <c r="G91" s="14">
        <v>22</v>
      </c>
      <c r="H91" s="5">
        <v>1</v>
      </c>
      <c r="I91" s="5">
        <v>20</v>
      </c>
      <c r="J91" s="20" t="s">
        <v>254</v>
      </c>
      <c r="K91" s="20" t="s">
        <v>280</v>
      </c>
      <c r="L91" s="2" t="s">
        <v>28</v>
      </c>
      <c r="M91" s="2" t="s">
        <v>276</v>
      </c>
      <c r="N91" s="2" t="s">
        <v>55</v>
      </c>
    </row>
    <row r="93" spans="1:14" x14ac:dyDescent="0.3">
      <c r="A93" s="2" t="s">
        <v>38</v>
      </c>
      <c r="B93" s="25" t="s">
        <v>130</v>
      </c>
      <c r="C93" s="15" t="s">
        <v>198</v>
      </c>
      <c r="D93" s="4">
        <v>214245311</v>
      </c>
      <c r="E93" s="4" t="s">
        <v>41</v>
      </c>
      <c r="F93" s="25" t="s">
        <v>87</v>
      </c>
      <c r="G93" s="25">
        <v>501.68299999999999</v>
      </c>
      <c r="H93" s="5">
        <v>20</v>
      </c>
      <c r="I93" s="5">
        <v>20</v>
      </c>
      <c r="J93" s="20" t="s">
        <v>255</v>
      </c>
      <c r="K93" s="2" t="s">
        <v>281</v>
      </c>
      <c r="L93" s="20" t="s">
        <v>28</v>
      </c>
      <c r="M93" s="2" t="s">
        <v>282</v>
      </c>
    </row>
    <row r="95" spans="1:14" x14ac:dyDescent="0.3">
      <c r="A95" s="2" t="s">
        <v>60</v>
      </c>
      <c r="B95" s="20" t="s">
        <v>94</v>
      </c>
      <c r="C95" s="6" t="s">
        <v>283</v>
      </c>
      <c r="D95" s="4" t="s">
        <v>284</v>
      </c>
      <c r="F95" s="7" t="s">
        <v>92</v>
      </c>
      <c r="G95" s="181">
        <v>21</v>
      </c>
      <c r="H95" s="34">
        <v>1</v>
      </c>
      <c r="I95" s="34">
        <v>20</v>
      </c>
      <c r="J95" s="61" t="s">
        <v>285</v>
      </c>
      <c r="K95" s="2" t="s">
        <v>248</v>
      </c>
      <c r="L95" s="2" t="s">
        <v>28</v>
      </c>
      <c r="M95" s="2" t="s">
        <v>286</v>
      </c>
    </row>
    <row r="97" spans="1:15" x14ac:dyDescent="0.3">
      <c r="A97" s="2" t="s">
        <v>287</v>
      </c>
      <c r="B97" s="25" t="s">
        <v>288</v>
      </c>
      <c r="C97" s="2" t="s">
        <v>289</v>
      </c>
      <c r="D97" s="4" t="s">
        <v>290</v>
      </c>
      <c r="E97" s="4" t="s">
        <v>291</v>
      </c>
      <c r="F97" s="25" t="s">
        <v>292</v>
      </c>
      <c r="G97" s="25">
        <v>10.148</v>
      </c>
      <c r="H97" s="5">
        <v>1</v>
      </c>
      <c r="J97" s="2" t="s">
        <v>282</v>
      </c>
      <c r="L97" s="2" t="s">
        <v>293</v>
      </c>
      <c r="M97" s="2" t="s">
        <v>258</v>
      </c>
    </row>
    <row r="98" spans="1:15" x14ac:dyDescent="0.3">
      <c r="A98" s="2" t="s">
        <v>294</v>
      </c>
      <c r="B98" s="16" t="s">
        <v>230</v>
      </c>
      <c r="C98" s="2" t="s">
        <v>295</v>
      </c>
      <c r="F98" s="67" t="s">
        <v>127</v>
      </c>
      <c r="G98" s="25">
        <v>40000</v>
      </c>
      <c r="H98" s="5">
        <v>2</v>
      </c>
      <c r="J98" s="2" t="s">
        <v>276</v>
      </c>
      <c r="K98" s="2">
        <v>2</v>
      </c>
      <c r="L98" s="2" t="s">
        <v>28</v>
      </c>
      <c r="M98" s="2" t="s">
        <v>228</v>
      </c>
    </row>
    <row r="99" spans="1:15" x14ac:dyDescent="0.3">
      <c r="A99" s="2" t="s">
        <v>60</v>
      </c>
      <c r="B99" s="20" t="s">
        <v>240</v>
      </c>
      <c r="C99" s="32" t="s">
        <v>296</v>
      </c>
      <c r="D99" s="21" t="s">
        <v>297</v>
      </c>
      <c r="E99" s="21" t="s">
        <v>41</v>
      </c>
      <c r="F99" s="20" t="s">
        <v>106</v>
      </c>
      <c r="G99" s="25">
        <v>125.14</v>
      </c>
      <c r="H99" s="34">
        <v>5</v>
      </c>
      <c r="I99" s="34">
        <v>20</v>
      </c>
      <c r="J99" s="61" t="s">
        <v>216</v>
      </c>
      <c r="K99" s="2" t="s">
        <v>298</v>
      </c>
      <c r="L99" s="2" t="s">
        <v>28</v>
      </c>
      <c r="M99" s="2" t="s">
        <v>191</v>
      </c>
      <c r="N99" s="2" t="s">
        <v>299</v>
      </c>
    </row>
    <row r="101" spans="1:15" x14ac:dyDescent="0.3">
      <c r="A101" s="2" t="s">
        <v>38</v>
      </c>
      <c r="B101" s="25" t="s">
        <v>109</v>
      </c>
      <c r="C101" s="25" t="s">
        <v>300</v>
      </c>
      <c r="D101" s="4" t="s">
        <v>301</v>
      </c>
      <c r="E101" s="4" t="s">
        <v>112</v>
      </c>
      <c r="F101" s="16" t="s">
        <v>113</v>
      </c>
      <c r="G101" s="20">
        <v>479.38</v>
      </c>
      <c r="H101" s="5">
        <v>20</v>
      </c>
      <c r="I101" s="5">
        <v>20</v>
      </c>
      <c r="J101" s="20" t="s">
        <v>282</v>
      </c>
      <c r="K101" s="2" t="s">
        <v>302</v>
      </c>
      <c r="L101" s="20" t="s">
        <v>28</v>
      </c>
      <c r="M101" s="20" t="s">
        <v>248</v>
      </c>
    </row>
    <row r="102" spans="1:15" x14ac:dyDescent="0.3">
      <c r="A102" s="2" t="s">
        <v>38</v>
      </c>
      <c r="B102" s="25" t="s">
        <v>303</v>
      </c>
      <c r="C102" s="2" t="s">
        <v>304</v>
      </c>
      <c r="D102" s="4" t="s">
        <v>305</v>
      </c>
      <c r="F102" s="2" t="s">
        <v>306</v>
      </c>
      <c r="G102" s="2" t="s">
        <v>307</v>
      </c>
      <c r="H102" s="5">
        <v>1</v>
      </c>
      <c r="I102" s="5">
        <v>20</v>
      </c>
      <c r="J102" s="25" t="s">
        <v>308</v>
      </c>
      <c r="L102" s="20" t="s">
        <v>121</v>
      </c>
      <c r="M102" s="2" t="s">
        <v>309</v>
      </c>
    </row>
    <row r="103" spans="1:15" x14ac:dyDescent="0.3">
      <c r="A103" s="2" t="s">
        <v>60</v>
      </c>
      <c r="B103" s="20" t="s">
        <v>149</v>
      </c>
      <c r="C103" s="6" t="s">
        <v>310</v>
      </c>
      <c r="D103" s="6" t="s">
        <v>311</v>
      </c>
      <c r="E103" s="6" t="s">
        <v>312</v>
      </c>
      <c r="F103" s="20" t="s">
        <v>152</v>
      </c>
      <c r="G103" s="14">
        <v>20</v>
      </c>
      <c r="H103" s="34">
        <v>1</v>
      </c>
      <c r="I103" s="5">
        <v>20</v>
      </c>
      <c r="J103" s="2" t="s">
        <v>276</v>
      </c>
      <c r="K103" s="2" t="s">
        <v>313</v>
      </c>
      <c r="L103" s="2" t="s">
        <v>28</v>
      </c>
      <c r="M103" s="2" t="s">
        <v>309</v>
      </c>
    </row>
    <row r="104" spans="1:15" x14ac:dyDescent="0.3">
      <c r="A104" s="2" t="s">
        <v>60</v>
      </c>
      <c r="B104" s="20" t="s">
        <v>149</v>
      </c>
      <c r="C104" s="6" t="s">
        <v>314</v>
      </c>
      <c r="D104" s="6" t="s">
        <v>315</v>
      </c>
      <c r="E104" s="6" t="s">
        <v>312</v>
      </c>
      <c r="F104" s="20" t="s">
        <v>152</v>
      </c>
      <c r="G104" s="14">
        <v>20</v>
      </c>
      <c r="H104" s="34">
        <v>1</v>
      </c>
      <c r="I104" s="5">
        <v>20</v>
      </c>
      <c r="J104" s="6" t="s">
        <v>276</v>
      </c>
      <c r="K104" s="2" t="s">
        <v>313</v>
      </c>
      <c r="L104" s="2" t="s">
        <v>28</v>
      </c>
      <c r="M104" s="2" t="s">
        <v>309</v>
      </c>
    </row>
    <row r="106" spans="1:15" x14ac:dyDescent="0.3">
      <c r="A106" s="2" t="s">
        <v>55</v>
      </c>
      <c r="B106" s="25" t="s">
        <v>130</v>
      </c>
      <c r="C106" s="15" t="s">
        <v>316</v>
      </c>
      <c r="D106" s="67" t="s">
        <v>317</v>
      </c>
      <c r="E106" s="67" t="s">
        <v>41</v>
      </c>
      <c r="F106" s="25" t="s">
        <v>87</v>
      </c>
      <c r="G106" s="20">
        <v>976.48400000000004</v>
      </c>
      <c r="H106" s="5">
        <v>39</v>
      </c>
      <c r="I106" s="5">
        <v>20</v>
      </c>
      <c r="J106" s="20" t="s">
        <v>318</v>
      </c>
      <c r="K106" s="44" t="s">
        <v>281</v>
      </c>
      <c r="L106" s="20" t="s">
        <v>319</v>
      </c>
      <c r="M106" s="20" t="s">
        <v>320</v>
      </c>
    </row>
    <row r="107" spans="1:15" x14ac:dyDescent="0.3">
      <c r="A107" s="2" t="s">
        <v>55</v>
      </c>
      <c r="B107" s="20" t="s">
        <v>149</v>
      </c>
      <c r="C107" s="6" t="s">
        <v>321</v>
      </c>
      <c r="D107" s="4" t="s">
        <v>322</v>
      </c>
      <c r="F107" s="20" t="s">
        <v>152</v>
      </c>
      <c r="G107" s="14">
        <v>20</v>
      </c>
      <c r="H107" s="5">
        <v>1</v>
      </c>
      <c r="I107" s="5">
        <v>20</v>
      </c>
      <c r="J107" s="20" t="s">
        <v>248</v>
      </c>
      <c r="K107" s="44" t="s">
        <v>323</v>
      </c>
      <c r="L107" s="2" t="s">
        <v>28</v>
      </c>
      <c r="M107" s="2" t="s">
        <v>320</v>
      </c>
    </row>
    <row r="109" spans="1:15" x14ac:dyDescent="0.3">
      <c r="A109" s="2" t="s">
        <v>123</v>
      </c>
      <c r="B109" s="4" t="s">
        <v>324</v>
      </c>
      <c r="C109" s="19" t="s">
        <v>325</v>
      </c>
      <c r="D109" s="4" t="s">
        <v>326</v>
      </c>
      <c r="E109" s="4" t="s">
        <v>327</v>
      </c>
      <c r="F109" s="58" t="s">
        <v>328</v>
      </c>
      <c r="G109" s="25">
        <v>10</v>
      </c>
      <c r="H109" s="5">
        <v>1</v>
      </c>
      <c r="J109" s="2" t="s">
        <v>248</v>
      </c>
      <c r="K109" s="2">
        <v>2</v>
      </c>
      <c r="L109" s="2" t="s">
        <v>329</v>
      </c>
    </row>
    <row r="110" spans="1:15" ht="15.6" x14ac:dyDescent="0.3">
      <c r="A110" s="2" t="s">
        <v>123</v>
      </c>
      <c r="B110" s="25" t="s">
        <v>330</v>
      </c>
      <c r="C110" s="11" t="s">
        <v>331</v>
      </c>
      <c r="D110" s="4">
        <v>308601028</v>
      </c>
      <c r="E110" s="4" t="s">
        <v>332</v>
      </c>
      <c r="F110" s="25" t="s">
        <v>333</v>
      </c>
      <c r="G110" s="25">
        <v>20</v>
      </c>
      <c r="H110" s="5">
        <v>1</v>
      </c>
      <c r="J110" s="2" t="s">
        <v>248</v>
      </c>
      <c r="K110" s="2">
        <v>2</v>
      </c>
      <c r="L110" s="2" t="s">
        <v>334</v>
      </c>
      <c r="M110" s="2" t="s">
        <v>320</v>
      </c>
    </row>
    <row r="111" spans="1:15" x14ac:dyDescent="0.3">
      <c r="A111" s="2" t="s">
        <v>123</v>
      </c>
      <c r="B111" s="25" t="s">
        <v>335</v>
      </c>
      <c r="E111" s="4" t="s">
        <v>327</v>
      </c>
      <c r="F111" s="2" t="s">
        <v>336</v>
      </c>
      <c r="M111" s="2" t="s">
        <v>302</v>
      </c>
      <c r="N111" s="2" t="s">
        <v>334</v>
      </c>
    </row>
    <row r="112" spans="1:15" x14ac:dyDescent="0.3">
      <c r="A112" s="2" t="s">
        <v>60</v>
      </c>
      <c r="B112" s="25" t="s">
        <v>337</v>
      </c>
      <c r="E112" s="4" t="s">
        <v>327</v>
      </c>
      <c r="F112" s="2" t="s">
        <v>338</v>
      </c>
      <c r="M112" s="2" t="s">
        <v>302</v>
      </c>
      <c r="N112" s="2" t="s">
        <v>339</v>
      </c>
      <c r="O112" s="2" t="s">
        <v>340</v>
      </c>
    </row>
    <row r="113" spans="1:14" x14ac:dyDescent="0.3">
      <c r="A113" s="2" t="s">
        <v>38</v>
      </c>
      <c r="B113" s="25" t="s">
        <v>109</v>
      </c>
      <c r="C113" s="25" t="s">
        <v>341</v>
      </c>
      <c r="D113" s="67" t="s">
        <v>342</v>
      </c>
      <c r="E113" s="67" t="s">
        <v>41</v>
      </c>
      <c r="F113" s="16" t="s">
        <v>113</v>
      </c>
      <c r="G113" s="20">
        <v>108.61</v>
      </c>
      <c r="H113" s="5">
        <v>4</v>
      </c>
      <c r="I113" s="5">
        <v>40</v>
      </c>
      <c r="J113" s="20" t="s">
        <v>280</v>
      </c>
      <c r="K113" s="44" t="s">
        <v>313</v>
      </c>
      <c r="L113" s="20" t="s">
        <v>28</v>
      </c>
      <c r="M113" s="20" t="s">
        <v>298</v>
      </c>
      <c r="N113" s="20" t="s">
        <v>343</v>
      </c>
    </row>
    <row r="114" spans="1:14" x14ac:dyDescent="0.3">
      <c r="A114" s="2" t="s">
        <v>344</v>
      </c>
      <c r="B114" s="25" t="s">
        <v>345</v>
      </c>
      <c r="C114" s="25" t="s">
        <v>346</v>
      </c>
      <c r="D114" s="67" t="s">
        <v>347</v>
      </c>
      <c r="E114" s="67" t="s">
        <v>41</v>
      </c>
      <c r="F114" s="16" t="s">
        <v>205</v>
      </c>
      <c r="G114" s="185">
        <v>54</v>
      </c>
      <c r="H114" s="5">
        <v>2</v>
      </c>
      <c r="I114" s="5">
        <v>20</v>
      </c>
      <c r="J114" s="61" t="s">
        <v>280</v>
      </c>
      <c r="K114" s="2" t="s">
        <v>313</v>
      </c>
      <c r="L114" s="2" t="s">
        <v>348</v>
      </c>
      <c r="M114" s="2" t="s">
        <v>349</v>
      </c>
      <c r="N114" s="2" t="s">
        <v>350</v>
      </c>
    </row>
    <row r="115" spans="1:14" x14ac:dyDescent="0.3">
      <c r="A115" s="2" t="s">
        <v>60</v>
      </c>
      <c r="B115" s="25" t="s">
        <v>351</v>
      </c>
      <c r="C115" s="4" t="s">
        <v>352</v>
      </c>
      <c r="F115" s="25" t="s">
        <v>353</v>
      </c>
      <c r="G115" s="25" t="s">
        <v>354</v>
      </c>
      <c r="J115" s="20" t="s">
        <v>355</v>
      </c>
      <c r="K115" s="25">
        <v>14</v>
      </c>
      <c r="L115" s="25" t="s">
        <v>28</v>
      </c>
      <c r="M115" s="2" t="s">
        <v>356</v>
      </c>
      <c r="N115" s="2" t="s">
        <v>357</v>
      </c>
    </row>
    <row r="116" spans="1:14" x14ac:dyDescent="0.3">
      <c r="A116" s="2" t="s">
        <v>38</v>
      </c>
      <c r="B116" s="20" t="s">
        <v>149</v>
      </c>
      <c r="C116" s="37" t="s">
        <v>358</v>
      </c>
      <c r="D116" s="6" t="s">
        <v>359</v>
      </c>
      <c r="E116" s="6" t="s">
        <v>360</v>
      </c>
      <c r="F116" s="2" t="s">
        <v>361</v>
      </c>
      <c r="G116" s="180">
        <v>5.5</v>
      </c>
      <c r="H116" s="5">
        <v>1</v>
      </c>
      <c r="I116" s="5">
        <v>20</v>
      </c>
      <c r="J116" s="4" t="s">
        <v>298</v>
      </c>
      <c r="K116" s="2" t="s">
        <v>362</v>
      </c>
      <c r="L116" s="2" t="s">
        <v>28</v>
      </c>
      <c r="M116" s="2" t="s">
        <v>363</v>
      </c>
      <c r="N116" s="2" t="s">
        <v>155</v>
      </c>
    </row>
    <row r="117" spans="1:14" ht="15.6" x14ac:dyDescent="0.3">
      <c r="A117" s="2" t="s">
        <v>60</v>
      </c>
      <c r="B117" s="11" t="s">
        <v>145</v>
      </c>
      <c r="C117" s="20" t="s">
        <v>364</v>
      </c>
      <c r="D117" s="21" t="s">
        <v>365</v>
      </c>
      <c r="E117" s="21" t="s">
        <v>41</v>
      </c>
      <c r="F117" s="7" t="s">
        <v>42</v>
      </c>
      <c r="G117" s="184">
        <v>50.192</v>
      </c>
      <c r="H117" s="34">
        <v>2</v>
      </c>
      <c r="I117" s="5">
        <v>40</v>
      </c>
      <c r="J117" s="61" t="s">
        <v>320</v>
      </c>
      <c r="K117" s="2" t="s">
        <v>366</v>
      </c>
      <c r="L117" s="2" t="s">
        <v>367</v>
      </c>
      <c r="M117" s="2" t="s">
        <v>368</v>
      </c>
    </row>
    <row r="118" spans="1:14" x14ac:dyDescent="0.3">
      <c r="A118" s="2" t="s">
        <v>73</v>
      </c>
      <c r="B118" s="25" t="s">
        <v>369</v>
      </c>
      <c r="C118" s="2" t="s">
        <v>370</v>
      </c>
      <c r="F118" s="7" t="s">
        <v>42</v>
      </c>
      <c r="G118" s="2">
        <v>500</v>
      </c>
      <c r="H118" s="5">
        <v>4</v>
      </c>
      <c r="J118" s="2" t="s">
        <v>371</v>
      </c>
      <c r="L118" s="2" t="s">
        <v>121</v>
      </c>
      <c r="M118" s="2" t="s">
        <v>372</v>
      </c>
    </row>
    <row r="119" spans="1:14" x14ac:dyDescent="0.3">
      <c r="A119" s="2" t="s">
        <v>123</v>
      </c>
      <c r="B119" s="25" t="s">
        <v>373</v>
      </c>
      <c r="C119" s="2" t="s">
        <v>374</v>
      </c>
      <c r="D119" s="4" t="s">
        <v>375</v>
      </c>
      <c r="E119" s="4" t="s">
        <v>41</v>
      </c>
      <c r="F119" s="46" t="s">
        <v>376</v>
      </c>
      <c r="G119" s="25">
        <v>24.75</v>
      </c>
      <c r="H119" s="5">
        <v>1</v>
      </c>
      <c r="I119" s="5">
        <v>40</v>
      </c>
      <c r="J119" s="2" t="s">
        <v>377</v>
      </c>
      <c r="K119" s="2" t="s">
        <v>378</v>
      </c>
      <c r="L119" s="2" t="s">
        <v>121</v>
      </c>
      <c r="M119" s="2" t="s">
        <v>379</v>
      </c>
      <c r="N119" s="2" t="s">
        <v>323</v>
      </c>
    </row>
    <row r="120" spans="1:14" x14ac:dyDescent="0.3">
      <c r="A120" s="2" t="s">
        <v>123</v>
      </c>
      <c r="B120" s="16" t="s">
        <v>230</v>
      </c>
      <c r="C120" s="592" t="s">
        <v>380</v>
      </c>
      <c r="D120" s="597">
        <v>1503</v>
      </c>
      <c r="F120" s="67" t="s">
        <v>381</v>
      </c>
      <c r="G120" s="25">
        <v>20</v>
      </c>
      <c r="H120" s="5">
        <v>1</v>
      </c>
      <c r="J120" s="2" t="s">
        <v>382</v>
      </c>
      <c r="L120" s="2" t="s">
        <v>383</v>
      </c>
      <c r="M120" s="2" t="s">
        <v>379</v>
      </c>
      <c r="N120" s="2" t="s">
        <v>313</v>
      </c>
    </row>
    <row r="121" spans="1:14" x14ac:dyDescent="0.3">
      <c r="B121" s="16"/>
      <c r="C121" s="592"/>
      <c r="D121" s="597"/>
      <c r="F121" s="67" t="s">
        <v>381</v>
      </c>
      <c r="G121" s="25">
        <v>10</v>
      </c>
    </row>
    <row r="122" spans="1:14" x14ac:dyDescent="0.3">
      <c r="A122" s="2" t="s">
        <v>123</v>
      </c>
      <c r="B122" s="25" t="s">
        <v>384</v>
      </c>
      <c r="C122" s="71" t="s">
        <v>385</v>
      </c>
      <c r="D122" s="4">
        <v>15805</v>
      </c>
      <c r="F122" s="25" t="s">
        <v>386</v>
      </c>
      <c r="G122" s="25">
        <v>27</v>
      </c>
      <c r="H122" s="5">
        <v>1</v>
      </c>
      <c r="J122" s="2" t="s">
        <v>382</v>
      </c>
      <c r="L122" s="2" t="s">
        <v>28</v>
      </c>
      <c r="M122" s="2" t="s">
        <v>379</v>
      </c>
      <c r="N122" s="2" t="s">
        <v>313</v>
      </c>
    </row>
    <row r="123" spans="1:14" x14ac:dyDescent="0.3">
      <c r="A123" s="2" t="s">
        <v>123</v>
      </c>
      <c r="B123" s="25" t="s">
        <v>384</v>
      </c>
      <c r="C123" s="71" t="s">
        <v>387</v>
      </c>
      <c r="F123" s="25" t="s">
        <v>388</v>
      </c>
      <c r="G123" s="25">
        <v>54</v>
      </c>
      <c r="J123" s="2" t="s">
        <v>372</v>
      </c>
      <c r="L123" s="2" t="s">
        <v>28</v>
      </c>
      <c r="M123" s="2" t="s">
        <v>379</v>
      </c>
      <c r="N123" s="2" t="s">
        <v>313</v>
      </c>
    </row>
    <row r="124" spans="1:14" x14ac:dyDescent="0.3">
      <c r="A124" s="2" t="s">
        <v>123</v>
      </c>
      <c r="B124" s="16" t="s">
        <v>166</v>
      </c>
      <c r="C124" s="2" t="s">
        <v>389</v>
      </c>
      <c r="F124" s="67" t="s">
        <v>390</v>
      </c>
      <c r="G124" s="25">
        <v>28</v>
      </c>
      <c r="J124" s="2" t="s">
        <v>372</v>
      </c>
      <c r="L124" s="2" t="s">
        <v>28</v>
      </c>
      <c r="M124" s="2" t="s">
        <v>379</v>
      </c>
      <c r="N124" s="2" t="s">
        <v>313</v>
      </c>
    </row>
    <row r="125" spans="1:14" x14ac:dyDescent="0.3">
      <c r="A125" s="2" t="s">
        <v>38</v>
      </c>
      <c r="B125" s="20" t="s">
        <v>85</v>
      </c>
      <c r="C125" s="25" t="s">
        <v>391</v>
      </c>
      <c r="D125" s="21" t="s">
        <v>392</v>
      </c>
      <c r="E125" s="4" t="s">
        <v>41</v>
      </c>
      <c r="F125" s="20" t="s">
        <v>87</v>
      </c>
      <c r="G125" s="20">
        <v>491.74200000000002</v>
      </c>
      <c r="H125" s="5">
        <v>19</v>
      </c>
      <c r="I125" s="5">
        <v>40</v>
      </c>
      <c r="J125" s="25" t="s">
        <v>349</v>
      </c>
      <c r="K125" s="2" t="s">
        <v>378</v>
      </c>
      <c r="L125" s="20" t="s">
        <v>393</v>
      </c>
      <c r="M125" s="2" t="s">
        <v>394</v>
      </c>
    </row>
    <row r="126" spans="1:14" x14ac:dyDescent="0.3">
      <c r="A126" s="2" t="s">
        <v>60</v>
      </c>
      <c r="B126" s="20" t="s">
        <v>240</v>
      </c>
      <c r="C126" s="32" t="s">
        <v>395</v>
      </c>
      <c r="D126" s="21" t="s">
        <v>396</v>
      </c>
      <c r="E126" s="4" t="s">
        <v>41</v>
      </c>
      <c r="F126" s="20" t="s">
        <v>106</v>
      </c>
      <c r="G126" s="25">
        <v>237.36</v>
      </c>
      <c r="H126" s="34">
        <v>10</v>
      </c>
      <c r="I126" s="5">
        <v>20</v>
      </c>
      <c r="J126" s="61" t="s">
        <v>397</v>
      </c>
      <c r="K126" s="2" t="s">
        <v>398</v>
      </c>
      <c r="L126" s="2" t="s">
        <v>28</v>
      </c>
      <c r="M126" s="2" t="s">
        <v>191</v>
      </c>
      <c r="N126" s="2" t="s">
        <v>362</v>
      </c>
    </row>
    <row r="127" spans="1:14" ht="15.6" x14ac:dyDescent="0.3">
      <c r="A127" s="2" t="s">
        <v>60</v>
      </c>
      <c r="B127" s="11" t="s">
        <v>145</v>
      </c>
      <c r="C127" s="20" t="s">
        <v>364</v>
      </c>
      <c r="D127" s="21" t="s">
        <v>399</v>
      </c>
      <c r="E127" s="4" t="s">
        <v>41</v>
      </c>
      <c r="F127" s="7" t="s">
        <v>42</v>
      </c>
      <c r="G127" s="184">
        <v>450.53500000000003</v>
      </c>
      <c r="H127" s="34">
        <v>18</v>
      </c>
      <c r="I127" s="5">
        <v>40</v>
      </c>
      <c r="J127" s="61" t="s">
        <v>377</v>
      </c>
      <c r="K127" s="2" t="s">
        <v>378</v>
      </c>
      <c r="L127" s="2" t="s">
        <v>28</v>
      </c>
      <c r="M127" s="2" t="s">
        <v>400</v>
      </c>
    </row>
    <row r="128" spans="1:14" ht="15.6" x14ac:dyDescent="0.3">
      <c r="A128" s="2" t="s">
        <v>60</v>
      </c>
      <c r="B128" s="11" t="s">
        <v>39</v>
      </c>
      <c r="C128" s="20" t="s">
        <v>260</v>
      </c>
      <c r="D128" s="6">
        <v>215785514</v>
      </c>
      <c r="E128" s="4" t="s">
        <v>41</v>
      </c>
      <c r="F128" s="7" t="s">
        <v>42</v>
      </c>
      <c r="G128" s="186">
        <v>25.465</v>
      </c>
      <c r="H128" s="5">
        <v>1</v>
      </c>
      <c r="I128" s="5">
        <v>40</v>
      </c>
      <c r="J128" s="61" t="s">
        <v>397</v>
      </c>
      <c r="K128" s="2" t="s">
        <v>398</v>
      </c>
      <c r="L128" s="2" t="s">
        <v>121</v>
      </c>
      <c r="M128" s="2" t="s">
        <v>401</v>
      </c>
    </row>
    <row r="129" spans="1:17" x14ac:dyDescent="0.3">
      <c r="A129" s="2" t="s">
        <v>38</v>
      </c>
      <c r="B129" s="20" t="s">
        <v>85</v>
      </c>
      <c r="C129" s="25" t="s">
        <v>391</v>
      </c>
      <c r="D129" s="67" t="s">
        <v>402</v>
      </c>
      <c r="E129" s="4" t="s">
        <v>41</v>
      </c>
      <c r="F129" s="20" t="s">
        <v>87</v>
      </c>
      <c r="G129" s="20">
        <v>512.52300000000002</v>
      </c>
      <c r="H129" s="5">
        <v>20</v>
      </c>
      <c r="I129" s="5">
        <v>40</v>
      </c>
      <c r="J129" s="25" t="s">
        <v>403</v>
      </c>
      <c r="K129" s="2" t="s">
        <v>404</v>
      </c>
      <c r="L129" s="20" t="s">
        <v>405</v>
      </c>
      <c r="M129" s="2" t="s">
        <v>362</v>
      </c>
    </row>
    <row r="130" spans="1:17" ht="15.6" x14ac:dyDescent="0.3">
      <c r="A130" s="2" t="s">
        <v>38</v>
      </c>
      <c r="B130" s="11" t="s">
        <v>39</v>
      </c>
      <c r="C130" s="6" t="s">
        <v>406</v>
      </c>
      <c r="D130" s="187">
        <v>215158602</v>
      </c>
      <c r="E130" s="4" t="s">
        <v>41</v>
      </c>
      <c r="F130" s="7" t="s">
        <v>42</v>
      </c>
      <c r="G130" s="183">
        <v>470.42</v>
      </c>
      <c r="H130" s="5">
        <v>18</v>
      </c>
      <c r="I130" s="5">
        <v>40</v>
      </c>
      <c r="J130" s="25" t="s">
        <v>349</v>
      </c>
      <c r="K130" s="2" t="s">
        <v>378</v>
      </c>
      <c r="L130" s="20" t="s">
        <v>407</v>
      </c>
      <c r="M130" s="2" t="s">
        <v>408</v>
      </c>
    </row>
    <row r="131" spans="1:17" x14ac:dyDescent="0.3">
      <c r="A131" s="2" t="s">
        <v>38</v>
      </c>
      <c r="B131" s="25" t="s">
        <v>85</v>
      </c>
      <c r="C131" s="25" t="s">
        <v>409</v>
      </c>
      <c r="D131" s="21" t="s">
        <v>410</v>
      </c>
      <c r="E131" s="4" t="s">
        <v>41</v>
      </c>
      <c r="F131" s="25" t="s">
        <v>87</v>
      </c>
      <c r="G131" s="20">
        <v>503.95100000000002</v>
      </c>
      <c r="H131" s="5">
        <v>22</v>
      </c>
      <c r="I131" s="5">
        <v>20</v>
      </c>
      <c r="J131" s="25" t="s">
        <v>377</v>
      </c>
      <c r="K131" s="2" t="s">
        <v>411</v>
      </c>
      <c r="L131" s="20" t="s">
        <v>405</v>
      </c>
    </row>
    <row r="132" spans="1:17" x14ac:dyDescent="0.3">
      <c r="A132" s="2" t="s">
        <v>412</v>
      </c>
      <c r="B132" s="25" t="s">
        <v>413</v>
      </c>
      <c r="C132" s="2" t="s">
        <v>414</v>
      </c>
      <c r="D132" s="4" t="s">
        <v>415</v>
      </c>
      <c r="E132" s="4" t="s">
        <v>312</v>
      </c>
      <c r="F132" s="20" t="s">
        <v>416</v>
      </c>
      <c r="G132" s="20">
        <v>1</v>
      </c>
      <c r="H132" s="5">
        <v>7</v>
      </c>
      <c r="I132" s="5">
        <v>40</v>
      </c>
      <c r="J132" s="2" t="s">
        <v>382</v>
      </c>
      <c r="K132" s="2" t="s">
        <v>417</v>
      </c>
      <c r="L132" s="20" t="s">
        <v>28</v>
      </c>
      <c r="M132" s="2" t="s">
        <v>418</v>
      </c>
    </row>
    <row r="133" spans="1:17" x14ac:dyDescent="0.3">
      <c r="A133" s="2" t="s">
        <v>123</v>
      </c>
      <c r="B133" s="25" t="s">
        <v>419</v>
      </c>
      <c r="C133" s="25" t="s">
        <v>420</v>
      </c>
      <c r="D133" s="4">
        <v>509786690</v>
      </c>
      <c r="E133" s="4" t="s">
        <v>421</v>
      </c>
      <c r="F133" s="16" t="s">
        <v>422</v>
      </c>
      <c r="G133" s="180">
        <v>1</v>
      </c>
      <c r="H133" s="5">
        <v>1</v>
      </c>
      <c r="J133" s="2" t="s">
        <v>382</v>
      </c>
      <c r="L133" s="2" t="s">
        <v>121</v>
      </c>
    </row>
    <row r="134" spans="1:17" x14ac:dyDescent="0.3">
      <c r="A134" s="2" t="s">
        <v>38</v>
      </c>
      <c r="B134" s="20" t="s">
        <v>85</v>
      </c>
      <c r="C134" s="25" t="s">
        <v>423</v>
      </c>
      <c r="D134" s="67" t="s">
        <v>424</v>
      </c>
      <c r="E134" s="4" t="s">
        <v>41</v>
      </c>
      <c r="F134" s="20" t="s">
        <v>87</v>
      </c>
      <c r="G134" s="20">
        <v>522.16700000000003</v>
      </c>
      <c r="H134" s="5">
        <v>20</v>
      </c>
      <c r="I134" s="5">
        <v>40</v>
      </c>
      <c r="J134" s="20" t="s">
        <v>425</v>
      </c>
      <c r="K134" s="2" t="s">
        <v>417</v>
      </c>
      <c r="L134" s="20" t="s">
        <v>28</v>
      </c>
      <c r="M134" s="20" t="s">
        <v>426</v>
      </c>
      <c r="N134" s="20"/>
    </row>
    <row r="135" spans="1:17" x14ac:dyDescent="0.3">
      <c r="A135" s="2" t="s">
        <v>38</v>
      </c>
      <c r="B135" s="20" t="s">
        <v>85</v>
      </c>
      <c r="C135" s="20" t="s">
        <v>213</v>
      </c>
      <c r="D135" s="21" t="s">
        <v>427</v>
      </c>
      <c r="E135" s="4" t="s">
        <v>41</v>
      </c>
      <c r="F135" s="20" t="s">
        <v>87</v>
      </c>
      <c r="G135" s="20">
        <v>25.446999999999999</v>
      </c>
      <c r="H135" s="5">
        <v>1</v>
      </c>
      <c r="I135" s="5">
        <v>40</v>
      </c>
      <c r="J135" s="25" t="s">
        <v>377</v>
      </c>
      <c r="K135" s="2" t="s">
        <v>411</v>
      </c>
      <c r="L135" s="20" t="s">
        <v>405</v>
      </c>
      <c r="M135" s="2" t="s">
        <v>428</v>
      </c>
    </row>
    <row r="136" spans="1:17" x14ac:dyDescent="0.3">
      <c r="A136" s="2" t="s">
        <v>38</v>
      </c>
      <c r="B136" s="20" t="s">
        <v>85</v>
      </c>
      <c r="C136" s="25" t="s">
        <v>423</v>
      </c>
      <c r="D136" s="67" t="s">
        <v>429</v>
      </c>
      <c r="E136" s="4" t="s">
        <v>41</v>
      </c>
      <c r="F136" s="20" t="s">
        <v>87</v>
      </c>
      <c r="G136" s="20">
        <v>522.54200000000003</v>
      </c>
      <c r="H136" s="5">
        <v>20</v>
      </c>
      <c r="I136" s="5">
        <v>40</v>
      </c>
      <c r="J136" s="2" t="s">
        <v>313</v>
      </c>
      <c r="K136" s="2" t="s">
        <v>430</v>
      </c>
      <c r="L136" s="20" t="s">
        <v>28</v>
      </c>
      <c r="M136" s="2" t="s">
        <v>431</v>
      </c>
    </row>
    <row r="137" spans="1:17" x14ac:dyDescent="0.3">
      <c r="A137" s="2" t="s">
        <v>38</v>
      </c>
      <c r="B137" s="25" t="s">
        <v>109</v>
      </c>
      <c r="C137" s="25" t="s">
        <v>432</v>
      </c>
      <c r="D137" s="4">
        <v>215646992</v>
      </c>
      <c r="E137" s="4" t="s">
        <v>41</v>
      </c>
      <c r="F137" s="20" t="s">
        <v>87</v>
      </c>
      <c r="G137" s="20">
        <v>725.11</v>
      </c>
      <c r="H137" s="5">
        <v>30</v>
      </c>
      <c r="I137" s="5">
        <v>20</v>
      </c>
      <c r="J137" s="2" t="s">
        <v>366</v>
      </c>
      <c r="K137" s="2" t="s">
        <v>430</v>
      </c>
      <c r="L137" s="91" t="s">
        <v>433</v>
      </c>
      <c r="M137" s="2" t="s">
        <v>434</v>
      </c>
      <c r="N137" s="2" t="s">
        <v>435</v>
      </c>
    </row>
    <row r="138" spans="1:17" x14ac:dyDescent="0.3">
      <c r="A138" s="2" t="s">
        <v>38</v>
      </c>
      <c r="B138" s="25" t="s">
        <v>436</v>
      </c>
      <c r="C138" s="6" t="s">
        <v>437</v>
      </c>
      <c r="D138" s="4">
        <v>215346498</v>
      </c>
      <c r="E138" s="4" t="s">
        <v>41</v>
      </c>
      <c r="F138" s="188" t="s">
        <v>438</v>
      </c>
      <c r="G138" s="25">
        <v>17.5</v>
      </c>
      <c r="I138" s="188"/>
      <c r="K138" s="34" t="s">
        <v>439</v>
      </c>
      <c r="L138" s="87" t="s">
        <v>440</v>
      </c>
      <c r="M138" s="25" t="s">
        <v>441</v>
      </c>
      <c r="N138" s="25" t="s">
        <v>442</v>
      </c>
      <c r="O138" s="20" t="s">
        <v>28</v>
      </c>
      <c r="P138" s="84" t="s">
        <v>443</v>
      </c>
      <c r="Q138" s="2" t="s">
        <v>444</v>
      </c>
    </row>
    <row r="139" spans="1:17" x14ac:dyDescent="0.3">
      <c r="A139" s="2" t="s">
        <v>123</v>
      </c>
      <c r="B139" s="25" t="s">
        <v>373</v>
      </c>
      <c r="C139" s="2" t="s">
        <v>445</v>
      </c>
      <c r="D139" s="4" t="s">
        <v>446</v>
      </c>
      <c r="E139" s="4" t="s">
        <v>41</v>
      </c>
      <c r="F139" s="25" t="s">
        <v>447</v>
      </c>
      <c r="G139" s="25">
        <v>51</v>
      </c>
      <c r="H139" s="34">
        <v>2</v>
      </c>
      <c r="I139" s="5">
        <v>40</v>
      </c>
      <c r="J139" s="25" t="s">
        <v>448</v>
      </c>
      <c r="K139" s="2" t="s">
        <v>449</v>
      </c>
      <c r="L139" s="2" t="s">
        <v>450</v>
      </c>
      <c r="M139" s="2" t="s">
        <v>451</v>
      </c>
      <c r="N139" s="2" t="s">
        <v>366</v>
      </c>
      <c r="O139" s="2" t="s">
        <v>452</v>
      </c>
    </row>
    <row r="140" spans="1:17" x14ac:dyDescent="0.3">
      <c r="A140" s="2" t="s">
        <v>38</v>
      </c>
      <c r="B140" s="25" t="s">
        <v>130</v>
      </c>
      <c r="C140" s="15" t="s">
        <v>453</v>
      </c>
      <c r="D140" s="4">
        <v>215017816</v>
      </c>
      <c r="E140" s="4" t="s">
        <v>41</v>
      </c>
      <c r="F140" s="6" t="s">
        <v>87</v>
      </c>
      <c r="G140" s="52">
        <v>701.07</v>
      </c>
      <c r="I140" s="48"/>
      <c r="K140" s="34" t="s">
        <v>454</v>
      </c>
      <c r="L140" s="87" t="s">
        <v>455</v>
      </c>
      <c r="M140" s="25" t="s">
        <v>404</v>
      </c>
      <c r="N140" s="25" t="s">
        <v>456</v>
      </c>
      <c r="O140" s="25" t="s">
        <v>457</v>
      </c>
      <c r="P140" s="84" t="s">
        <v>458</v>
      </c>
      <c r="Q140" s="2" t="s">
        <v>459</v>
      </c>
    </row>
    <row r="141" spans="1:17" x14ac:dyDescent="0.3">
      <c r="A141" s="2" t="s">
        <v>60</v>
      </c>
      <c r="B141" s="25" t="s">
        <v>460</v>
      </c>
      <c r="D141" s="4" t="s">
        <v>461</v>
      </c>
      <c r="F141" s="2" t="s">
        <v>462</v>
      </c>
      <c r="G141" s="2">
        <v>16</v>
      </c>
      <c r="H141" s="5">
        <v>1</v>
      </c>
      <c r="J141" s="20" t="s">
        <v>441</v>
      </c>
      <c r="L141" s="25" t="s">
        <v>463</v>
      </c>
      <c r="M141" s="25" t="s">
        <v>464</v>
      </c>
    </row>
    <row r="142" spans="1:17" x14ac:dyDescent="0.3">
      <c r="A142" s="2" t="s">
        <v>60</v>
      </c>
      <c r="B142" s="25" t="s">
        <v>351</v>
      </c>
      <c r="C142" s="4" t="s">
        <v>465</v>
      </c>
      <c r="D142" s="4" t="s">
        <v>466</v>
      </c>
      <c r="F142" s="25" t="s">
        <v>467</v>
      </c>
      <c r="G142" s="25" t="s">
        <v>468</v>
      </c>
      <c r="H142" s="5">
        <v>1</v>
      </c>
      <c r="I142" s="5">
        <v>20</v>
      </c>
      <c r="J142" s="20" t="s">
        <v>469</v>
      </c>
      <c r="K142" s="25">
        <v>14</v>
      </c>
      <c r="L142" s="25" t="s">
        <v>28</v>
      </c>
      <c r="M142" s="25" t="s">
        <v>464</v>
      </c>
    </row>
    <row r="143" spans="1:17" x14ac:dyDescent="0.3">
      <c r="A143" s="2" t="s">
        <v>38</v>
      </c>
      <c r="B143" s="20" t="s">
        <v>130</v>
      </c>
      <c r="C143" s="3" t="s">
        <v>470</v>
      </c>
      <c r="D143" s="4" t="s">
        <v>471</v>
      </c>
      <c r="E143" s="4" t="s">
        <v>472</v>
      </c>
      <c r="F143" s="6" t="s">
        <v>87</v>
      </c>
      <c r="G143" s="20">
        <v>626.44100000000003</v>
      </c>
      <c r="I143" s="48"/>
      <c r="K143" s="34" t="s">
        <v>473</v>
      </c>
      <c r="L143" s="87" t="s">
        <v>474</v>
      </c>
      <c r="M143" s="25" t="s">
        <v>404</v>
      </c>
      <c r="N143" s="25" t="s">
        <v>475</v>
      </c>
      <c r="O143" s="20" t="s">
        <v>476</v>
      </c>
      <c r="P143" s="84" t="s">
        <v>477</v>
      </c>
      <c r="Q143" s="2" t="s">
        <v>464</v>
      </c>
    </row>
    <row r="144" spans="1:17" x14ac:dyDescent="0.3">
      <c r="A144" s="2" t="s">
        <v>38</v>
      </c>
      <c r="B144" s="25" t="s">
        <v>478</v>
      </c>
      <c r="C144" s="25" t="s">
        <v>479</v>
      </c>
      <c r="D144" s="25" t="s">
        <v>480</v>
      </c>
      <c r="E144" s="2"/>
      <c r="F144" s="124" t="s">
        <v>205</v>
      </c>
      <c r="G144" s="65">
        <v>77.22</v>
      </c>
      <c r="H144" s="5">
        <v>4</v>
      </c>
      <c r="I144" s="188">
        <v>20</v>
      </c>
      <c r="K144" s="34" t="s">
        <v>481</v>
      </c>
      <c r="L144" s="84" t="s">
        <v>482</v>
      </c>
      <c r="M144" s="25" t="s">
        <v>417</v>
      </c>
      <c r="N144" s="25" t="s">
        <v>475</v>
      </c>
      <c r="O144" s="25" t="s">
        <v>483</v>
      </c>
      <c r="P144" s="84" t="s">
        <v>484</v>
      </c>
      <c r="Q144" s="2" t="s">
        <v>464</v>
      </c>
    </row>
    <row r="145" spans="1:20" x14ac:dyDescent="0.3">
      <c r="B145" s="25" t="s">
        <v>485</v>
      </c>
      <c r="C145" s="25" t="s">
        <v>486</v>
      </c>
      <c r="D145" s="25" t="s">
        <v>487</v>
      </c>
      <c r="E145" s="2"/>
      <c r="F145" s="6" t="s">
        <v>488</v>
      </c>
      <c r="G145" s="20">
        <v>30</v>
      </c>
      <c r="I145" s="48"/>
      <c r="K145" s="5">
        <v>1</v>
      </c>
      <c r="M145" s="89" t="s">
        <v>448</v>
      </c>
      <c r="O145" s="2" t="s">
        <v>457</v>
      </c>
      <c r="Q145" s="2" t="s">
        <v>489</v>
      </c>
    </row>
    <row r="146" spans="1:20" x14ac:dyDescent="0.3">
      <c r="A146" s="2" t="s">
        <v>38</v>
      </c>
      <c r="B146" s="20" t="s">
        <v>490</v>
      </c>
      <c r="C146" s="6" t="s">
        <v>491</v>
      </c>
      <c r="D146" s="25" t="s">
        <v>492</v>
      </c>
      <c r="E146" s="2" t="s">
        <v>493</v>
      </c>
      <c r="F146" s="189" t="s">
        <v>494</v>
      </c>
      <c r="G146" s="10">
        <v>27</v>
      </c>
      <c r="H146" s="5">
        <v>1</v>
      </c>
      <c r="I146" s="190">
        <v>20</v>
      </c>
      <c r="K146" s="34" t="s">
        <v>495</v>
      </c>
      <c r="L146" s="87" t="s">
        <v>496</v>
      </c>
      <c r="M146" s="25" t="s">
        <v>398</v>
      </c>
      <c r="N146" s="25" t="s">
        <v>497</v>
      </c>
      <c r="O146" s="25" t="s">
        <v>121</v>
      </c>
      <c r="P146" s="84" t="s">
        <v>477</v>
      </c>
      <c r="Q146" s="25" t="s">
        <v>489</v>
      </c>
    </row>
    <row r="147" spans="1:20" x14ac:dyDescent="0.3">
      <c r="A147" s="2" t="s">
        <v>38</v>
      </c>
      <c r="B147" s="20" t="s">
        <v>490</v>
      </c>
      <c r="C147" s="6" t="s">
        <v>498</v>
      </c>
      <c r="D147" s="25" t="s">
        <v>499</v>
      </c>
      <c r="E147" s="2" t="s">
        <v>493</v>
      </c>
      <c r="F147" s="189" t="s">
        <v>494</v>
      </c>
      <c r="G147" s="10">
        <v>27</v>
      </c>
      <c r="H147" s="5">
        <v>1</v>
      </c>
      <c r="I147" s="190">
        <v>20</v>
      </c>
      <c r="K147" s="34" t="s">
        <v>495</v>
      </c>
      <c r="L147" s="87" t="s">
        <v>496</v>
      </c>
      <c r="M147" s="25" t="s">
        <v>398</v>
      </c>
      <c r="N147" s="25" t="s">
        <v>497</v>
      </c>
      <c r="O147" s="25" t="s">
        <v>28</v>
      </c>
      <c r="P147" s="84" t="s">
        <v>500</v>
      </c>
      <c r="Q147" s="25" t="s">
        <v>489</v>
      </c>
    </row>
    <row r="148" spans="1:20" x14ac:dyDescent="0.3">
      <c r="A148" s="2" t="s">
        <v>38</v>
      </c>
      <c r="B148" s="25" t="s">
        <v>157</v>
      </c>
      <c r="C148" s="25" t="s">
        <v>501</v>
      </c>
      <c r="D148" s="25" t="s">
        <v>502</v>
      </c>
      <c r="E148" s="2" t="s">
        <v>503</v>
      </c>
      <c r="F148" s="124" t="s">
        <v>113</v>
      </c>
      <c r="G148" s="20">
        <v>265.17</v>
      </c>
      <c r="I148" s="188">
        <v>20</v>
      </c>
      <c r="K148" s="34" t="s">
        <v>504</v>
      </c>
      <c r="L148" s="87" t="s">
        <v>505</v>
      </c>
      <c r="M148" s="25" t="s">
        <v>417</v>
      </c>
      <c r="N148" s="25" t="s">
        <v>506</v>
      </c>
      <c r="O148" s="20" t="s">
        <v>507</v>
      </c>
      <c r="P148" s="84" t="s">
        <v>508</v>
      </c>
      <c r="Q148" s="2" t="s">
        <v>509</v>
      </c>
    </row>
    <row r="149" spans="1:20" x14ac:dyDescent="0.3">
      <c r="A149" s="2" t="s">
        <v>60</v>
      </c>
      <c r="B149" s="20" t="s">
        <v>510</v>
      </c>
      <c r="C149" s="6" t="s">
        <v>511</v>
      </c>
      <c r="D149" s="4" t="s">
        <v>512</v>
      </c>
      <c r="E149" s="2"/>
      <c r="F149" s="2" t="s">
        <v>513</v>
      </c>
      <c r="G149" s="25">
        <v>250</v>
      </c>
      <c r="H149" s="5">
        <v>10</v>
      </c>
      <c r="I149" s="5">
        <v>20</v>
      </c>
      <c r="J149" s="20" t="s">
        <v>514</v>
      </c>
      <c r="K149" s="25" t="s">
        <v>515</v>
      </c>
      <c r="L149" s="25" t="s">
        <v>516</v>
      </c>
      <c r="M149" s="25" t="s">
        <v>517</v>
      </c>
      <c r="N149" s="25" t="s">
        <v>518</v>
      </c>
      <c r="O149" s="25" t="s">
        <v>519</v>
      </c>
    </row>
    <row r="150" spans="1:20" x14ac:dyDescent="0.3">
      <c r="A150" s="2" t="s">
        <v>67</v>
      </c>
      <c r="B150" s="25" t="s">
        <v>369</v>
      </c>
      <c r="C150" s="2" t="s">
        <v>520</v>
      </c>
      <c r="D150" s="2"/>
      <c r="E150" s="2"/>
      <c r="F150" s="2" t="s">
        <v>42</v>
      </c>
      <c r="G150" s="2">
        <v>500</v>
      </c>
      <c r="H150" s="5">
        <v>4</v>
      </c>
      <c r="J150" s="2" t="s">
        <v>521</v>
      </c>
      <c r="L150" s="2" t="s">
        <v>121</v>
      </c>
    </row>
    <row r="151" spans="1:20" x14ac:dyDescent="0.3">
      <c r="A151" s="2" t="s">
        <v>38</v>
      </c>
      <c r="B151" s="25" t="s">
        <v>157</v>
      </c>
      <c r="C151" s="25" t="s">
        <v>522</v>
      </c>
      <c r="D151" s="25" t="s">
        <v>523</v>
      </c>
      <c r="E151" s="2" t="s">
        <v>503</v>
      </c>
      <c r="F151" s="124" t="s">
        <v>113</v>
      </c>
      <c r="G151" s="20">
        <v>486.62</v>
      </c>
      <c r="H151" s="5">
        <v>20</v>
      </c>
      <c r="I151" s="188">
        <v>20</v>
      </c>
      <c r="K151" s="34" t="s">
        <v>524</v>
      </c>
      <c r="L151" s="87" t="s">
        <v>525</v>
      </c>
      <c r="M151" s="94">
        <v>44655</v>
      </c>
      <c r="N151" s="25" t="s">
        <v>526</v>
      </c>
      <c r="O151" s="20" t="s">
        <v>507</v>
      </c>
      <c r="P151" s="84" t="s">
        <v>508</v>
      </c>
      <c r="Q151" s="2" t="s">
        <v>527</v>
      </c>
      <c r="T151" s="2" t="s">
        <v>528</v>
      </c>
    </row>
    <row r="152" spans="1:20" ht="15.6" x14ac:dyDescent="0.3">
      <c r="A152" s="2" t="s">
        <v>529</v>
      </c>
      <c r="B152" s="191" t="s">
        <v>39</v>
      </c>
      <c r="C152" s="69" t="s">
        <v>530</v>
      </c>
      <c r="D152" s="19">
        <v>215503184</v>
      </c>
      <c r="E152" s="2" t="s">
        <v>41</v>
      </c>
      <c r="F152" s="189" t="s">
        <v>42</v>
      </c>
      <c r="G152" s="30">
        <v>259.62</v>
      </c>
      <c r="H152" s="5">
        <v>10</v>
      </c>
      <c r="I152" s="190">
        <v>40</v>
      </c>
      <c r="K152" s="30"/>
      <c r="L152" s="34" t="s">
        <v>531</v>
      </c>
      <c r="M152" s="20" t="s">
        <v>456</v>
      </c>
      <c r="N152" s="25" t="s">
        <v>449</v>
      </c>
      <c r="O152" s="25" t="s">
        <v>532</v>
      </c>
      <c r="P152" s="2" t="s">
        <v>533</v>
      </c>
      <c r="Q152" s="2" t="s">
        <v>534</v>
      </c>
    </row>
    <row r="153" spans="1:20" x14ac:dyDescent="0.3">
      <c r="A153" s="2" t="s">
        <v>123</v>
      </c>
      <c r="B153" s="25" t="s">
        <v>535</v>
      </c>
      <c r="C153" s="19" t="s">
        <v>536</v>
      </c>
      <c r="D153" s="2" t="s">
        <v>537</v>
      </c>
      <c r="E153" s="2" t="s">
        <v>332</v>
      </c>
      <c r="F153" s="4" t="s">
        <v>333</v>
      </c>
      <c r="G153" s="25">
        <v>20</v>
      </c>
      <c r="I153" s="34"/>
      <c r="K153" s="25"/>
      <c r="L153" s="5">
        <v>1</v>
      </c>
      <c r="M153" s="2" t="s">
        <v>538</v>
      </c>
      <c r="N153" s="2">
        <v>2</v>
      </c>
      <c r="O153" s="2" t="s">
        <v>463</v>
      </c>
    </row>
    <row r="154" spans="1:20" x14ac:dyDescent="0.3">
      <c r="A154" s="2" t="s">
        <v>123</v>
      </c>
      <c r="B154" s="25" t="s">
        <v>76</v>
      </c>
      <c r="C154" s="25" t="s">
        <v>539</v>
      </c>
      <c r="D154" s="2" t="s">
        <v>540</v>
      </c>
      <c r="E154" s="2"/>
      <c r="F154" s="4" t="s">
        <v>78</v>
      </c>
      <c r="G154" s="20">
        <v>50</v>
      </c>
      <c r="I154" s="34"/>
      <c r="K154" s="20"/>
      <c r="L154" s="5">
        <v>2</v>
      </c>
      <c r="M154" s="2" t="s">
        <v>538</v>
      </c>
      <c r="N154" s="2" t="s">
        <v>475</v>
      </c>
      <c r="O154" s="2" t="s">
        <v>463</v>
      </c>
    </row>
    <row r="155" spans="1:20" x14ac:dyDescent="0.3">
      <c r="A155" s="2" t="s">
        <v>38</v>
      </c>
      <c r="B155" s="25" t="s">
        <v>541</v>
      </c>
      <c r="C155" s="15" t="s">
        <v>542</v>
      </c>
      <c r="D155" s="15" t="s">
        <v>543</v>
      </c>
      <c r="E155" s="2" t="s">
        <v>41</v>
      </c>
      <c r="F155" s="6" t="s">
        <v>87</v>
      </c>
      <c r="G155" s="20">
        <v>961.00800000000004</v>
      </c>
      <c r="H155" s="5">
        <v>42</v>
      </c>
      <c r="I155" s="48">
        <v>20</v>
      </c>
      <c r="K155" s="34" t="s">
        <v>544</v>
      </c>
      <c r="L155" s="87" t="s">
        <v>545</v>
      </c>
      <c r="M155" s="94">
        <v>44685</v>
      </c>
      <c r="N155" s="25" t="s">
        <v>546</v>
      </c>
      <c r="O155" s="25" t="s">
        <v>547</v>
      </c>
      <c r="P155" s="84" t="s">
        <v>500</v>
      </c>
      <c r="Q155" s="2" t="s">
        <v>548</v>
      </c>
      <c r="S155" s="2" t="s">
        <v>549</v>
      </c>
    </row>
    <row r="156" spans="1:20" x14ac:dyDescent="0.3">
      <c r="A156" s="2" t="s">
        <v>529</v>
      </c>
      <c r="B156" s="20" t="s">
        <v>240</v>
      </c>
      <c r="C156" s="6" t="s">
        <v>550</v>
      </c>
      <c r="D156" s="20" t="s">
        <v>551</v>
      </c>
      <c r="E156" s="2" t="s">
        <v>552</v>
      </c>
      <c r="F156" s="6" t="s">
        <v>106</v>
      </c>
      <c r="G156" s="8">
        <v>118.75</v>
      </c>
      <c r="H156" s="5">
        <v>5</v>
      </c>
      <c r="I156" s="48">
        <v>20</v>
      </c>
      <c r="K156" s="8" t="s">
        <v>553</v>
      </c>
      <c r="L156" s="5" t="s">
        <v>554</v>
      </c>
      <c r="M156" s="20" t="s">
        <v>555</v>
      </c>
      <c r="N156" s="25" t="s">
        <v>556</v>
      </c>
      <c r="O156" s="25" t="s">
        <v>28</v>
      </c>
      <c r="P156" s="2" t="s">
        <v>475</v>
      </c>
      <c r="Q156" s="2" t="s">
        <v>557</v>
      </c>
    </row>
    <row r="157" spans="1:20" x14ac:dyDescent="0.3">
      <c r="A157" s="2" t="s">
        <v>38</v>
      </c>
      <c r="B157" s="25" t="s">
        <v>541</v>
      </c>
      <c r="C157" s="15" t="s">
        <v>558</v>
      </c>
      <c r="D157" s="15" t="s">
        <v>559</v>
      </c>
      <c r="E157" s="2" t="s">
        <v>41</v>
      </c>
      <c r="F157" s="6" t="s">
        <v>87</v>
      </c>
      <c r="G157" s="20">
        <v>223.09299999999999</v>
      </c>
      <c r="H157" s="5">
        <v>11</v>
      </c>
      <c r="I157" s="48">
        <v>20</v>
      </c>
      <c r="K157" s="34" t="s">
        <v>504</v>
      </c>
      <c r="L157" s="84" t="s">
        <v>553</v>
      </c>
      <c r="M157" s="94">
        <v>44808</v>
      </c>
      <c r="N157" s="25" t="s">
        <v>560</v>
      </c>
      <c r="O157" s="25" t="s">
        <v>507</v>
      </c>
      <c r="P157" s="84" t="s">
        <v>561</v>
      </c>
      <c r="Q157" s="25" t="s">
        <v>562</v>
      </c>
    </row>
    <row r="158" spans="1:20" x14ac:dyDescent="0.3">
      <c r="A158" s="2" t="s">
        <v>67</v>
      </c>
      <c r="B158" s="25" t="s">
        <v>39</v>
      </c>
      <c r="C158" s="2" t="s">
        <v>563</v>
      </c>
      <c r="D158" s="19">
        <v>216578843</v>
      </c>
      <c r="E158" s="2" t="s">
        <v>41</v>
      </c>
      <c r="F158" s="189" t="s">
        <v>42</v>
      </c>
      <c r="G158" s="56">
        <v>77.8</v>
      </c>
      <c r="H158" s="5">
        <v>3</v>
      </c>
      <c r="I158" s="190">
        <v>40</v>
      </c>
      <c r="K158" s="56"/>
      <c r="L158" s="2" t="s">
        <v>564</v>
      </c>
      <c r="M158" s="2" t="s">
        <v>456</v>
      </c>
      <c r="N158" s="2" t="s">
        <v>565</v>
      </c>
      <c r="O158" s="2" t="s">
        <v>28</v>
      </c>
      <c r="Q158" s="2" t="s">
        <v>566</v>
      </c>
    </row>
    <row r="159" spans="1:20" ht="15.6" x14ac:dyDescent="0.3">
      <c r="A159" s="2" t="s">
        <v>123</v>
      </c>
      <c r="B159" s="25" t="s">
        <v>166</v>
      </c>
      <c r="C159" s="88" t="s">
        <v>567</v>
      </c>
      <c r="D159" s="192" t="s">
        <v>568</v>
      </c>
      <c r="E159" s="2"/>
      <c r="F159" s="193" t="s">
        <v>569</v>
      </c>
      <c r="G159" s="25">
        <v>28</v>
      </c>
      <c r="I159" s="194"/>
      <c r="K159" s="25"/>
      <c r="L159" s="5">
        <v>1</v>
      </c>
      <c r="M159" s="2" t="s">
        <v>497</v>
      </c>
      <c r="O159" s="2" t="s">
        <v>28</v>
      </c>
    </row>
    <row r="160" spans="1:20" x14ac:dyDescent="0.3">
      <c r="A160" s="2" t="s">
        <v>60</v>
      </c>
      <c r="B160" s="25" t="s">
        <v>485</v>
      </c>
      <c r="C160" s="2" t="s">
        <v>570</v>
      </c>
      <c r="D160" s="19">
        <v>201868472</v>
      </c>
      <c r="E160" s="2" t="s">
        <v>41</v>
      </c>
      <c r="F160" s="4" t="s">
        <v>205</v>
      </c>
      <c r="G160" s="2">
        <v>30</v>
      </c>
      <c r="K160" s="2">
        <v>1</v>
      </c>
      <c r="L160" s="61" t="s">
        <v>571</v>
      </c>
      <c r="N160" s="25" t="s">
        <v>121</v>
      </c>
      <c r="O160" s="25" t="s">
        <v>572</v>
      </c>
    </row>
    <row r="161" spans="1:19" x14ac:dyDescent="0.3">
      <c r="A161" s="2" t="s">
        <v>60</v>
      </c>
      <c r="B161" s="20" t="s">
        <v>573</v>
      </c>
      <c r="C161" s="2" t="s">
        <v>574</v>
      </c>
      <c r="D161" s="6" t="s">
        <v>575</v>
      </c>
      <c r="E161" s="2" t="s">
        <v>503</v>
      </c>
      <c r="F161" s="4" t="s">
        <v>576</v>
      </c>
      <c r="G161" s="2">
        <v>13</v>
      </c>
      <c r="H161" s="5">
        <v>1</v>
      </c>
      <c r="I161" s="5">
        <v>20</v>
      </c>
      <c r="K161" s="34" t="s">
        <v>577</v>
      </c>
      <c r="L161" s="61" t="s">
        <v>497</v>
      </c>
      <c r="M161" s="2" t="s">
        <v>578</v>
      </c>
      <c r="N161" s="2" t="s">
        <v>579</v>
      </c>
      <c r="O161" s="25" t="s">
        <v>580</v>
      </c>
    </row>
    <row r="162" spans="1:19" x14ac:dyDescent="0.3">
      <c r="A162" s="2" t="s">
        <v>529</v>
      </c>
      <c r="B162" s="25" t="s">
        <v>581</v>
      </c>
      <c r="C162" s="4" t="s">
        <v>582</v>
      </c>
      <c r="D162" s="6" t="s">
        <v>583</v>
      </c>
      <c r="E162" s="2" t="s">
        <v>584</v>
      </c>
      <c r="F162" s="124" t="s">
        <v>205</v>
      </c>
      <c r="G162" s="65">
        <v>50</v>
      </c>
      <c r="H162" s="5">
        <v>2</v>
      </c>
      <c r="I162" s="188">
        <v>20</v>
      </c>
      <c r="K162" s="5" t="s">
        <v>585</v>
      </c>
      <c r="L162" s="61" t="s">
        <v>506</v>
      </c>
      <c r="M162" s="25" t="s">
        <v>586</v>
      </c>
      <c r="N162" s="25" t="s">
        <v>516</v>
      </c>
      <c r="O162" s="2" t="s">
        <v>350</v>
      </c>
      <c r="P162" s="2" t="s">
        <v>587</v>
      </c>
    </row>
    <row r="163" spans="1:19" x14ac:dyDescent="0.3">
      <c r="A163" s="2" t="s">
        <v>38</v>
      </c>
      <c r="B163" s="25" t="s">
        <v>541</v>
      </c>
      <c r="C163" s="15" t="s">
        <v>588</v>
      </c>
      <c r="D163" s="15" t="s">
        <v>589</v>
      </c>
      <c r="E163" s="2" t="s">
        <v>41</v>
      </c>
      <c r="F163" s="20" t="s">
        <v>87</v>
      </c>
      <c r="G163" s="20">
        <v>501.90100000000001</v>
      </c>
      <c r="H163" s="5">
        <v>22</v>
      </c>
      <c r="I163" s="188">
        <v>20</v>
      </c>
      <c r="L163" s="34" t="s">
        <v>590</v>
      </c>
      <c r="M163" s="87" t="s">
        <v>553</v>
      </c>
      <c r="N163" s="94">
        <v>44869</v>
      </c>
      <c r="O163" s="25" t="s">
        <v>591</v>
      </c>
      <c r="P163" s="25" t="s">
        <v>592</v>
      </c>
      <c r="Q163" s="84" t="s">
        <v>477</v>
      </c>
      <c r="R163" s="25" t="s">
        <v>593</v>
      </c>
      <c r="S163" s="25"/>
    </row>
    <row r="164" spans="1:19" x14ac:dyDescent="0.3">
      <c r="A164" s="2" t="s">
        <v>60</v>
      </c>
      <c r="B164" s="20" t="s">
        <v>594</v>
      </c>
      <c r="C164" s="6" t="s">
        <v>595</v>
      </c>
      <c r="D164" s="25" t="s">
        <v>596</v>
      </c>
      <c r="E164" s="2" t="s">
        <v>552</v>
      </c>
      <c r="F164" s="4" t="s">
        <v>243</v>
      </c>
      <c r="G164" s="20">
        <v>125</v>
      </c>
      <c r="H164" s="5">
        <v>5</v>
      </c>
      <c r="I164" s="34">
        <v>20</v>
      </c>
      <c r="K164" s="5" t="s">
        <v>554</v>
      </c>
      <c r="L164" s="5"/>
      <c r="M164" s="61" t="s">
        <v>597</v>
      </c>
      <c r="N164" s="97">
        <v>44566</v>
      </c>
      <c r="O164" s="25" t="s">
        <v>516</v>
      </c>
      <c r="P164" s="2" t="s">
        <v>598</v>
      </c>
      <c r="Q164" s="2" t="s">
        <v>599</v>
      </c>
    </row>
    <row r="165" spans="1:19" x14ac:dyDescent="0.3">
      <c r="A165" s="2" t="s">
        <v>38</v>
      </c>
      <c r="B165" s="20" t="s">
        <v>130</v>
      </c>
      <c r="C165" s="3" t="s">
        <v>470</v>
      </c>
      <c r="D165" s="4">
        <v>216111643</v>
      </c>
      <c r="E165" s="2" t="s">
        <v>41</v>
      </c>
      <c r="F165" s="20" t="s">
        <v>87</v>
      </c>
      <c r="G165" s="20">
        <v>374.85199999999998</v>
      </c>
      <c r="H165" s="5">
        <v>15</v>
      </c>
      <c r="I165" s="34">
        <v>20</v>
      </c>
      <c r="L165" s="34" t="s">
        <v>600</v>
      </c>
      <c r="M165" s="87" t="s">
        <v>553</v>
      </c>
      <c r="N165" s="94">
        <v>44869</v>
      </c>
      <c r="O165" s="25" t="s">
        <v>601</v>
      </c>
      <c r="P165" s="25" t="s">
        <v>547</v>
      </c>
      <c r="Q165" s="84" t="s">
        <v>477</v>
      </c>
      <c r="R165" s="25" t="s">
        <v>602</v>
      </c>
      <c r="S165" s="25"/>
    </row>
    <row r="166" spans="1:19" ht="15.6" x14ac:dyDescent="0.3">
      <c r="A166" s="2" t="s">
        <v>123</v>
      </c>
      <c r="B166" s="25" t="s">
        <v>603</v>
      </c>
      <c r="C166" s="11" t="s">
        <v>604</v>
      </c>
      <c r="D166" s="2"/>
      <c r="E166" s="2"/>
      <c r="F166" s="4" t="s">
        <v>605</v>
      </c>
      <c r="G166" s="25">
        <v>54</v>
      </c>
      <c r="I166" s="34"/>
      <c r="K166" s="25"/>
      <c r="L166" s="5">
        <v>2</v>
      </c>
      <c r="M166" s="2" t="s">
        <v>606</v>
      </c>
      <c r="O166" s="2" t="s">
        <v>121</v>
      </c>
      <c r="Q166" s="2" t="s">
        <v>607</v>
      </c>
    </row>
    <row r="167" spans="1:19" ht="15.6" x14ac:dyDescent="0.3">
      <c r="A167" s="2" t="s">
        <v>38</v>
      </c>
      <c r="B167" s="11" t="s">
        <v>39</v>
      </c>
      <c r="C167" s="6" t="s">
        <v>608</v>
      </c>
      <c r="D167" s="21" t="s">
        <v>609</v>
      </c>
      <c r="E167" s="2" t="s">
        <v>41</v>
      </c>
      <c r="F167" s="7" t="s">
        <v>42</v>
      </c>
      <c r="G167" s="72">
        <v>463.64499999999998</v>
      </c>
      <c r="H167" s="5">
        <v>18</v>
      </c>
      <c r="I167" s="34">
        <v>20</v>
      </c>
      <c r="L167" s="34">
        <v>18</v>
      </c>
      <c r="M167" s="34">
        <v>40</v>
      </c>
      <c r="N167" s="84" t="s">
        <v>610</v>
      </c>
      <c r="O167" s="4" t="s">
        <v>611</v>
      </c>
      <c r="P167" s="25" t="s">
        <v>612</v>
      </c>
      <c r="Q167" s="25" t="s">
        <v>613</v>
      </c>
      <c r="R167" s="84" t="s">
        <v>500</v>
      </c>
      <c r="S167" s="2" t="s">
        <v>614</v>
      </c>
    </row>
    <row r="168" spans="1:19" x14ac:dyDescent="0.3">
      <c r="A168" s="2" t="s">
        <v>38</v>
      </c>
      <c r="B168" s="25" t="s">
        <v>541</v>
      </c>
      <c r="C168" s="15" t="s">
        <v>615</v>
      </c>
      <c r="D168" s="15" t="s">
        <v>616</v>
      </c>
      <c r="E168" s="2" t="s">
        <v>41</v>
      </c>
      <c r="F168" s="20" t="s">
        <v>87</v>
      </c>
      <c r="G168" s="20">
        <v>527.01800000000003</v>
      </c>
      <c r="H168" s="5">
        <v>22</v>
      </c>
      <c r="I168" s="48">
        <v>20</v>
      </c>
      <c r="L168" s="34">
        <v>23</v>
      </c>
      <c r="M168" s="34">
        <v>20</v>
      </c>
      <c r="N168" s="87" t="s">
        <v>553</v>
      </c>
      <c r="O168" s="94">
        <v>44808</v>
      </c>
      <c r="P168" s="25" t="s">
        <v>617</v>
      </c>
      <c r="Q168" s="25" t="s">
        <v>618</v>
      </c>
      <c r="R168" s="84" t="s">
        <v>500</v>
      </c>
      <c r="S168" s="25" t="s">
        <v>619</v>
      </c>
    </row>
    <row r="169" spans="1:19" x14ac:dyDescent="0.3">
      <c r="A169" s="2" t="s">
        <v>60</v>
      </c>
      <c r="B169" s="25" t="s">
        <v>485</v>
      </c>
      <c r="C169" s="4" t="s">
        <v>570</v>
      </c>
      <c r="D169" s="2" t="s">
        <v>620</v>
      </c>
      <c r="E169" s="2"/>
      <c r="F169" s="4" t="s">
        <v>205</v>
      </c>
      <c r="G169" s="2">
        <v>30</v>
      </c>
      <c r="K169" s="2">
        <v>1</v>
      </c>
      <c r="M169" s="61" t="s">
        <v>587</v>
      </c>
      <c r="O169" s="25" t="s">
        <v>28</v>
      </c>
      <c r="Q169" s="2" t="s">
        <v>621</v>
      </c>
    </row>
    <row r="170" spans="1:19" ht="15.6" x14ac:dyDescent="0.3">
      <c r="A170" s="2" t="s">
        <v>123</v>
      </c>
      <c r="B170" s="25" t="s">
        <v>622</v>
      </c>
      <c r="C170" s="88"/>
      <c r="D170" s="2"/>
      <c r="E170" s="2"/>
      <c r="F170" s="193" t="s">
        <v>623</v>
      </c>
      <c r="G170" s="25">
        <v>2.34</v>
      </c>
      <c r="I170" s="194"/>
      <c r="K170" s="25"/>
      <c r="L170" s="5"/>
      <c r="O170" s="2" t="s">
        <v>28</v>
      </c>
      <c r="Q170" s="2" t="s">
        <v>624</v>
      </c>
    </row>
    <row r="171" spans="1:19" x14ac:dyDescent="0.3">
      <c r="A171" s="2" t="s">
        <v>38</v>
      </c>
      <c r="B171" s="25" t="s">
        <v>109</v>
      </c>
      <c r="C171" s="25" t="s">
        <v>625</v>
      </c>
      <c r="D171" s="25" t="s">
        <v>626</v>
      </c>
      <c r="E171" s="84" t="s">
        <v>503</v>
      </c>
      <c r="F171" s="16" t="s">
        <v>627</v>
      </c>
      <c r="G171" s="20">
        <v>481.8</v>
      </c>
      <c r="H171" s="5">
        <v>20</v>
      </c>
      <c r="I171" s="48">
        <v>20</v>
      </c>
      <c r="L171" s="34">
        <v>20</v>
      </c>
      <c r="M171" s="34">
        <v>20</v>
      </c>
      <c r="N171" s="87">
        <v>44777</v>
      </c>
      <c r="O171" s="25" t="s">
        <v>526</v>
      </c>
      <c r="P171" s="25" t="s">
        <v>628</v>
      </c>
      <c r="Q171" s="20" t="s">
        <v>629</v>
      </c>
      <c r="R171" s="84" t="s">
        <v>630</v>
      </c>
      <c r="S171" s="2" t="s">
        <v>631</v>
      </c>
    </row>
    <row r="172" spans="1:19" x14ac:dyDescent="0.3">
      <c r="A172" s="2" t="s">
        <v>529</v>
      </c>
      <c r="B172" s="20" t="s">
        <v>240</v>
      </c>
      <c r="C172" s="6" t="s">
        <v>632</v>
      </c>
      <c r="D172" s="3" t="s">
        <v>633</v>
      </c>
      <c r="E172" s="2" t="s">
        <v>41</v>
      </c>
      <c r="F172" s="6" t="s">
        <v>243</v>
      </c>
      <c r="G172" s="8">
        <v>251.04</v>
      </c>
      <c r="H172" s="5">
        <v>10</v>
      </c>
      <c r="I172" s="48">
        <v>20</v>
      </c>
      <c r="K172" s="25">
        <v>10</v>
      </c>
      <c r="L172" s="25">
        <v>20</v>
      </c>
      <c r="M172" s="34"/>
      <c r="N172" s="61" t="s">
        <v>449</v>
      </c>
      <c r="O172" s="97">
        <v>44656</v>
      </c>
      <c r="P172" s="25" t="s">
        <v>634</v>
      </c>
      <c r="R172" s="2" t="s">
        <v>635</v>
      </c>
    </row>
    <row r="173" spans="1:19" x14ac:dyDescent="0.3">
      <c r="A173" s="2" t="s">
        <v>60</v>
      </c>
      <c r="B173" s="25" t="s">
        <v>636</v>
      </c>
      <c r="C173" s="2" t="s">
        <v>637</v>
      </c>
      <c r="D173" s="2" t="s">
        <v>638</v>
      </c>
      <c r="E173" s="2"/>
      <c r="F173" s="4" t="s">
        <v>639</v>
      </c>
      <c r="G173" s="2">
        <v>40</v>
      </c>
      <c r="K173" s="2">
        <v>2</v>
      </c>
      <c r="L173" s="2">
        <v>20</v>
      </c>
      <c r="M173" s="5"/>
      <c r="N173" s="2" t="s">
        <v>587</v>
      </c>
      <c r="O173" s="112">
        <v>44625</v>
      </c>
      <c r="P173" s="2" t="s">
        <v>28</v>
      </c>
      <c r="R173" s="2" t="s">
        <v>640</v>
      </c>
    </row>
    <row r="174" spans="1:19" x14ac:dyDescent="0.3">
      <c r="A174" s="2" t="s">
        <v>67</v>
      </c>
      <c r="B174" s="25" t="s">
        <v>39</v>
      </c>
      <c r="C174" s="2" t="s">
        <v>563</v>
      </c>
      <c r="D174" s="19">
        <v>215420749</v>
      </c>
      <c r="E174" s="2" t="s">
        <v>41</v>
      </c>
      <c r="F174" s="189" t="s">
        <v>42</v>
      </c>
      <c r="G174" s="56">
        <v>390.73</v>
      </c>
      <c r="H174" s="5">
        <v>15</v>
      </c>
      <c r="I174" s="190">
        <v>40</v>
      </c>
      <c r="K174" s="56"/>
      <c r="L174" s="2">
        <v>15</v>
      </c>
      <c r="M174" s="2">
        <v>40</v>
      </c>
      <c r="N174" s="2" t="s">
        <v>587</v>
      </c>
      <c r="O174" s="112">
        <v>44625</v>
      </c>
      <c r="P174" s="2" t="s">
        <v>592</v>
      </c>
      <c r="R174" s="2" t="s">
        <v>641</v>
      </c>
    </row>
    <row r="175" spans="1:19" x14ac:dyDescent="0.3">
      <c r="A175" s="2" t="s">
        <v>123</v>
      </c>
      <c r="B175" s="25" t="s">
        <v>642</v>
      </c>
      <c r="C175" s="2" t="s">
        <v>643</v>
      </c>
      <c r="D175" s="2" t="s">
        <v>644</v>
      </c>
      <c r="E175" s="2" t="s">
        <v>645</v>
      </c>
      <c r="F175" s="4" t="s">
        <v>127</v>
      </c>
      <c r="G175" s="25">
        <v>26.9</v>
      </c>
      <c r="O175" s="2" t="s">
        <v>28</v>
      </c>
      <c r="Q175" s="2" t="s">
        <v>646</v>
      </c>
    </row>
    <row r="176" spans="1:19" x14ac:dyDescent="0.3">
      <c r="D176" s="2"/>
      <c r="E176" s="2"/>
      <c r="F176" s="4" t="s">
        <v>647</v>
      </c>
      <c r="G176" s="25">
        <v>3.1</v>
      </c>
    </row>
    <row r="177" spans="1:25" ht="15.6" x14ac:dyDescent="0.3">
      <c r="A177" s="2" t="s">
        <v>38</v>
      </c>
      <c r="B177" s="25" t="s">
        <v>109</v>
      </c>
      <c r="C177" s="2" t="s">
        <v>648</v>
      </c>
      <c r="D177" s="25" t="s">
        <v>649</v>
      </c>
      <c r="E177" s="195" t="s">
        <v>503</v>
      </c>
      <c r="F177" s="16" t="s">
        <v>113</v>
      </c>
      <c r="G177" s="20">
        <v>362</v>
      </c>
      <c r="H177" s="196">
        <v>15</v>
      </c>
      <c r="I177" s="196">
        <v>20</v>
      </c>
      <c r="L177" s="34">
        <v>15</v>
      </c>
      <c r="M177" s="34">
        <v>20</v>
      </c>
      <c r="N177" s="87" t="s">
        <v>598</v>
      </c>
      <c r="O177" s="25" t="s">
        <v>546</v>
      </c>
      <c r="P177" s="25" t="s">
        <v>650</v>
      </c>
      <c r="Q177" s="20" t="s">
        <v>629</v>
      </c>
      <c r="R177" s="84" t="s">
        <v>477</v>
      </c>
      <c r="S177" s="2" t="s">
        <v>651</v>
      </c>
    </row>
    <row r="178" spans="1:25" ht="15.6" x14ac:dyDescent="0.3">
      <c r="A178" s="2" t="s">
        <v>38</v>
      </c>
      <c r="B178" s="25" t="s">
        <v>652</v>
      </c>
      <c r="C178" s="25" t="s">
        <v>653</v>
      </c>
      <c r="D178" s="25" t="s">
        <v>654</v>
      </c>
      <c r="E178" s="195" t="s">
        <v>503</v>
      </c>
      <c r="F178" s="20" t="s">
        <v>87</v>
      </c>
      <c r="G178" s="20">
        <v>203.255</v>
      </c>
      <c r="H178" s="196">
        <v>10</v>
      </c>
      <c r="I178" s="196">
        <v>20</v>
      </c>
      <c r="L178" s="48">
        <v>10</v>
      </c>
      <c r="M178" s="34">
        <v>20</v>
      </c>
      <c r="N178" s="87">
        <v>44685</v>
      </c>
      <c r="O178" s="25" t="s">
        <v>655</v>
      </c>
      <c r="P178" s="98">
        <v>44597</v>
      </c>
      <c r="Q178" s="4" t="s">
        <v>656</v>
      </c>
      <c r="R178" s="84" t="s">
        <v>477</v>
      </c>
      <c r="S178" s="25" t="s">
        <v>657</v>
      </c>
    </row>
    <row r="179" spans="1:25" ht="15.6" x14ac:dyDescent="0.3">
      <c r="A179" s="2" t="s">
        <v>38</v>
      </c>
      <c r="B179" s="20" t="s">
        <v>652</v>
      </c>
      <c r="C179" s="25" t="s">
        <v>658</v>
      </c>
      <c r="D179" s="20" t="s">
        <v>659</v>
      </c>
      <c r="E179" s="195" t="s">
        <v>503</v>
      </c>
      <c r="F179" s="20" t="s">
        <v>87</v>
      </c>
      <c r="G179" s="20">
        <v>480.68</v>
      </c>
      <c r="H179" s="196">
        <v>20</v>
      </c>
      <c r="I179" s="196">
        <v>20</v>
      </c>
      <c r="L179" s="48">
        <v>20</v>
      </c>
      <c r="M179" s="34">
        <v>20</v>
      </c>
      <c r="N179" s="87" t="s">
        <v>598</v>
      </c>
      <c r="O179" s="4" t="s">
        <v>606</v>
      </c>
      <c r="P179" s="97">
        <v>44566</v>
      </c>
      <c r="Q179" s="25" t="s">
        <v>660</v>
      </c>
      <c r="R179" s="84" t="s">
        <v>630</v>
      </c>
      <c r="S179" s="2" t="s">
        <v>661</v>
      </c>
    </row>
    <row r="180" spans="1:25" ht="15.6" x14ac:dyDescent="0.3">
      <c r="A180" s="2" t="s">
        <v>38</v>
      </c>
      <c r="B180" s="25" t="s">
        <v>109</v>
      </c>
      <c r="C180" s="25" t="s">
        <v>432</v>
      </c>
      <c r="D180" s="4">
        <v>215646992</v>
      </c>
      <c r="E180" s="195" t="s">
        <v>41</v>
      </c>
      <c r="F180" s="20" t="s">
        <v>87</v>
      </c>
      <c r="G180" s="20">
        <v>78</v>
      </c>
      <c r="H180" s="196">
        <v>3</v>
      </c>
      <c r="I180" s="196">
        <v>20</v>
      </c>
      <c r="L180" s="34">
        <v>3</v>
      </c>
      <c r="M180" s="34">
        <v>20</v>
      </c>
      <c r="N180" s="87">
        <v>44807</v>
      </c>
      <c r="O180" s="25" t="s">
        <v>546</v>
      </c>
      <c r="P180" s="97">
        <v>44597</v>
      </c>
      <c r="Q180" s="20" t="s">
        <v>662</v>
      </c>
      <c r="R180" s="84" t="s">
        <v>630</v>
      </c>
      <c r="S180" s="2" t="s">
        <v>663</v>
      </c>
    </row>
    <row r="181" spans="1:25" ht="15.6" x14ac:dyDescent="0.3">
      <c r="A181" s="2" t="s">
        <v>49</v>
      </c>
      <c r="B181" s="25" t="s">
        <v>166</v>
      </c>
      <c r="C181" s="88" t="s">
        <v>567</v>
      </c>
      <c r="D181" s="88" t="s">
        <v>664</v>
      </c>
      <c r="E181" s="2"/>
      <c r="F181" s="193" t="s">
        <v>169</v>
      </c>
      <c r="G181" s="25">
        <v>56</v>
      </c>
      <c r="I181" s="194"/>
      <c r="K181" s="25"/>
      <c r="L181" s="5">
        <v>2</v>
      </c>
      <c r="M181" s="2" t="s">
        <v>617</v>
      </c>
      <c r="O181" s="2" t="s">
        <v>665</v>
      </c>
      <c r="S181" s="2" t="s">
        <v>666</v>
      </c>
    </row>
    <row r="182" spans="1:25" x14ac:dyDescent="0.3">
      <c r="A182" s="2" t="s">
        <v>49</v>
      </c>
      <c r="B182" s="16" t="s">
        <v>667</v>
      </c>
      <c r="C182" s="2" t="s">
        <v>668</v>
      </c>
      <c r="D182" s="2" t="s">
        <v>669</v>
      </c>
      <c r="E182" s="2"/>
      <c r="F182" s="67" t="s">
        <v>670</v>
      </c>
      <c r="G182" s="25">
        <v>205</v>
      </c>
      <c r="I182" s="197"/>
      <c r="K182" s="25"/>
      <c r="M182" s="2" t="s">
        <v>538</v>
      </c>
      <c r="O182" s="2" t="s">
        <v>463</v>
      </c>
    </row>
    <row r="183" spans="1:25" x14ac:dyDescent="0.3">
      <c r="A183" s="2" t="s">
        <v>60</v>
      </c>
      <c r="B183" s="25" t="s">
        <v>485</v>
      </c>
      <c r="C183" s="4" t="s">
        <v>570</v>
      </c>
      <c r="D183" s="2" t="s">
        <v>671</v>
      </c>
      <c r="E183" s="2" t="s">
        <v>645</v>
      </c>
      <c r="F183" s="4" t="s">
        <v>205</v>
      </c>
      <c r="G183" s="2">
        <v>30</v>
      </c>
      <c r="K183" s="2">
        <v>1</v>
      </c>
      <c r="N183" s="61" t="s">
        <v>672</v>
      </c>
      <c r="O183" s="2">
        <v>14</v>
      </c>
      <c r="P183" s="25" t="s">
        <v>28</v>
      </c>
      <c r="S183" s="2" t="s">
        <v>673</v>
      </c>
    </row>
    <row r="184" spans="1:25" ht="15.6" x14ac:dyDescent="0.3">
      <c r="A184" s="2" t="s">
        <v>55</v>
      </c>
      <c r="B184" s="20" t="s">
        <v>94</v>
      </c>
      <c r="C184" s="66" t="s">
        <v>674</v>
      </c>
      <c r="D184" s="25" t="s">
        <v>675</v>
      </c>
      <c r="E184" s="84" t="s">
        <v>189</v>
      </c>
      <c r="F184" s="7" t="s">
        <v>438</v>
      </c>
      <c r="G184" s="39">
        <v>16.5</v>
      </c>
      <c r="H184" s="196">
        <v>1</v>
      </c>
      <c r="I184" s="196">
        <v>20</v>
      </c>
      <c r="L184" s="34">
        <v>1</v>
      </c>
      <c r="M184" s="34">
        <v>20</v>
      </c>
      <c r="N184" s="87">
        <v>44838</v>
      </c>
      <c r="O184" s="6" t="s">
        <v>676</v>
      </c>
      <c r="P184" s="97">
        <v>44717</v>
      </c>
      <c r="Q184" s="25" t="s">
        <v>121</v>
      </c>
      <c r="R184" s="84" t="s">
        <v>630</v>
      </c>
      <c r="S184" s="2" t="s">
        <v>677</v>
      </c>
    </row>
    <row r="185" spans="1:25" ht="15.6" x14ac:dyDescent="0.3">
      <c r="A185" s="2" t="s">
        <v>55</v>
      </c>
      <c r="B185" s="25" t="s">
        <v>157</v>
      </c>
      <c r="C185" s="25" t="s">
        <v>678</v>
      </c>
      <c r="D185" s="25" t="s">
        <v>679</v>
      </c>
      <c r="E185" s="195" t="s">
        <v>503</v>
      </c>
      <c r="F185" s="20" t="s">
        <v>87</v>
      </c>
      <c r="G185" s="20">
        <v>575.09799999999996</v>
      </c>
      <c r="H185" s="196">
        <v>20</v>
      </c>
      <c r="I185" s="196">
        <v>40</v>
      </c>
      <c r="L185" s="34">
        <v>22</v>
      </c>
      <c r="M185" s="34">
        <v>40</v>
      </c>
      <c r="N185" s="87">
        <v>44777</v>
      </c>
      <c r="O185" s="4" t="s">
        <v>680</v>
      </c>
      <c r="P185" s="97">
        <v>44656</v>
      </c>
      <c r="Q185" s="25" t="s">
        <v>629</v>
      </c>
      <c r="R185" s="84" t="s">
        <v>630</v>
      </c>
      <c r="S185" s="2" t="s">
        <v>681</v>
      </c>
    </row>
    <row r="186" spans="1:25" ht="15.6" x14ac:dyDescent="0.3">
      <c r="A186" s="2" t="s">
        <v>245</v>
      </c>
      <c r="B186" s="191" t="s">
        <v>39</v>
      </c>
      <c r="C186" s="69" t="s">
        <v>530</v>
      </c>
      <c r="D186" s="19">
        <v>216351123</v>
      </c>
      <c r="E186" s="198" t="s">
        <v>41</v>
      </c>
      <c r="F186" s="7" t="s">
        <v>42</v>
      </c>
      <c r="G186" s="68">
        <v>26</v>
      </c>
      <c r="H186" s="199">
        <v>1</v>
      </c>
      <c r="I186" s="199">
        <v>40</v>
      </c>
      <c r="L186" s="25">
        <v>1</v>
      </c>
      <c r="M186" s="25">
        <v>40</v>
      </c>
      <c r="N186" s="34"/>
      <c r="O186" s="20" t="s">
        <v>449</v>
      </c>
      <c r="P186" s="97">
        <v>44717</v>
      </c>
      <c r="Q186" s="25" t="s">
        <v>682</v>
      </c>
      <c r="R186" s="2" t="s">
        <v>586</v>
      </c>
      <c r="S186" s="2" t="s">
        <v>683</v>
      </c>
    </row>
    <row r="187" spans="1:25" x14ac:dyDescent="0.3">
      <c r="A187" s="2" t="s">
        <v>55</v>
      </c>
      <c r="B187" s="20" t="s">
        <v>684</v>
      </c>
      <c r="C187" s="25" t="s">
        <v>685</v>
      </c>
      <c r="D187" s="15" t="s">
        <v>686</v>
      </c>
      <c r="E187" s="4" t="s">
        <v>41</v>
      </c>
      <c r="F187" s="25" t="s">
        <v>87</v>
      </c>
      <c r="G187" s="20">
        <v>203.9</v>
      </c>
      <c r="H187" s="200">
        <v>10</v>
      </c>
      <c r="I187" s="200">
        <v>20</v>
      </c>
      <c r="L187" s="5">
        <v>10</v>
      </c>
      <c r="M187" s="34">
        <v>20</v>
      </c>
      <c r="N187" s="95">
        <v>44899</v>
      </c>
      <c r="O187" s="19" t="s">
        <v>628</v>
      </c>
      <c r="P187" s="112">
        <v>44870</v>
      </c>
      <c r="Q187" s="2" t="s">
        <v>687</v>
      </c>
      <c r="R187" s="2" t="s">
        <v>688</v>
      </c>
      <c r="S187" s="2" t="s">
        <v>689</v>
      </c>
      <c r="T187" s="112">
        <v>44686</v>
      </c>
    </row>
    <row r="188" spans="1:25" ht="15.6" x14ac:dyDescent="0.3">
      <c r="A188" s="2" t="s">
        <v>55</v>
      </c>
      <c r="B188" s="25" t="s">
        <v>541</v>
      </c>
      <c r="C188" s="15" t="s">
        <v>558</v>
      </c>
      <c r="D188" s="4">
        <v>216350081</v>
      </c>
      <c r="E188" s="201" t="s">
        <v>41</v>
      </c>
      <c r="F188" s="20" t="s">
        <v>87</v>
      </c>
      <c r="G188" s="20">
        <v>23.251000000000001</v>
      </c>
      <c r="H188" s="202">
        <v>1</v>
      </c>
      <c r="I188" s="202">
        <v>20</v>
      </c>
      <c r="L188" s="34">
        <v>1</v>
      </c>
      <c r="M188" s="34">
        <v>20</v>
      </c>
      <c r="N188" s="84" t="s">
        <v>655</v>
      </c>
      <c r="O188" s="25" t="s">
        <v>628</v>
      </c>
      <c r="P188" s="97">
        <v>44870</v>
      </c>
      <c r="Q188" s="25" t="s">
        <v>634</v>
      </c>
      <c r="R188" s="84" t="s">
        <v>561</v>
      </c>
      <c r="S188" s="25" t="s">
        <v>689</v>
      </c>
      <c r="T188" s="97">
        <v>44717</v>
      </c>
    </row>
    <row r="189" spans="1:25" x14ac:dyDescent="0.3">
      <c r="A189" s="2" t="s">
        <v>67</v>
      </c>
      <c r="B189" s="25" t="s">
        <v>690</v>
      </c>
      <c r="C189" s="20" t="s">
        <v>691</v>
      </c>
      <c r="D189" s="19">
        <v>215695956</v>
      </c>
      <c r="E189" s="6" t="s">
        <v>41</v>
      </c>
      <c r="F189" s="7" t="s">
        <v>42</v>
      </c>
      <c r="G189" s="56">
        <v>250.71299999999999</v>
      </c>
      <c r="H189" s="199">
        <v>10</v>
      </c>
      <c r="I189" s="199">
        <v>40</v>
      </c>
      <c r="L189" s="56"/>
      <c r="M189" s="2">
        <v>10</v>
      </c>
      <c r="N189" s="2">
        <v>40</v>
      </c>
      <c r="O189" s="6" t="s">
        <v>650</v>
      </c>
      <c r="P189" s="2" t="s">
        <v>692</v>
      </c>
      <c r="Q189" s="2" t="s">
        <v>629</v>
      </c>
      <c r="S189" s="2" t="s">
        <v>693</v>
      </c>
    </row>
    <row r="190" spans="1:25" ht="15.6" x14ac:dyDescent="0.3">
      <c r="A190" s="2" t="s">
        <v>73</v>
      </c>
      <c r="B190" s="11" t="s">
        <v>690</v>
      </c>
      <c r="C190" s="6" t="s">
        <v>694</v>
      </c>
      <c r="D190" s="21" t="s">
        <v>695</v>
      </c>
      <c r="E190" s="6" t="s">
        <v>41</v>
      </c>
      <c r="F190" s="7" t="s">
        <v>42</v>
      </c>
      <c r="G190" s="56">
        <v>251.12700000000001</v>
      </c>
      <c r="H190" s="199">
        <v>10</v>
      </c>
      <c r="I190" s="199">
        <v>40</v>
      </c>
      <c r="L190" s="2">
        <v>10</v>
      </c>
      <c r="M190" s="2">
        <v>40</v>
      </c>
      <c r="N190" s="56" t="s">
        <v>696</v>
      </c>
      <c r="O190" s="2" t="s">
        <v>697</v>
      </c>
      <c r="P190" s="112">
        <v>44839</v>
      </c>
      <c r="Q190" s="2" t="s">
        <v>698</v>
      </c>
      <c r="S190" s="2" t="s">
        <v>699</v>
      </c>
    </row>
    <row r="191" spans="1:25" x14ac:dyDescent="0.3">
      <c r="A191" s="2" t="s">
        <v>55</v>
      </c>
      <c r="B191" s="25" t="s">
        <v>700</v>
      </c>
      <c r="C191" s="149" t="s">
        <v>701</v>
      </c>
      <c r="D191" s="15" t="s">
        <v>702</v>
      </c>
      <c r="E191" s="67" t="s">
        <v>41</v>
      </c>
      <c r="F191" s="25" t="s">
        <v>87</v>
      </c>
      <c r="G191" s="20">
        <v>976.18299999999999</v>
      </c>
      <c r="H191" s="5">
        <v>43</v>
      </c>
      <c r="I191" s="5">
        <v>20</v>
      </c>
      <c r="L191" s="5">
        <v>43</v>
      </c>
      <c r="M191" s="34">
        <v>20</v>
      </c>
      <c r="N191" s="5"/>
      <c r="O191" s="97">
        <v>44597</v>
      </c>
      <c r="P191" s="44" t="s">
        <v>703</v>
      </c>
      <c r="Q191" s="2" t="s">
        <v>704</v>
      </c>
      <c r="R191" s="2" t="s">
        <v>705</v>
      </c>
      <c r="S191" s="2" t="s">
        <v>706</v>
      </c>
      <c r="Y191" s="2" t="s">
        <v>707</v>
      </c>
    </row>
    <row r="192" spans="1:25" x14ac:dyDescent="0.3">
      <c r="A192" s="2" t="s">
        <v>60</v>
      </c>
      <c r="B192" s="25" t="s">
        <v>708</v>
      </c>
      <c r="C192" s="2" t="s">
        <v>709</v>
      </c>
      <c r="D192" s="2"/>
      <c r="F192" s="7" t="s">
        <v>710</v>
      </c>
      <c r="G192" s="2">
        <v>20.010000000000002</v>
      </c>
      <c r="L192" s="2">
        <v>1</v>
      </c>
      <c r="O192" s="61" t="s">
        <v>711</v>
      </c>
      <c r="Q192" s="25" t="s">
        <v>121</v>
      </c>
    </row>
    <row r="193" spans="1:29" x14ac:dyDescent="0.3">
      <c r="A193" s="2" t="s">
        <v>60</v>
      </c>
      <c r="B193" s="25" t="s">
        <v>712</v>
      </c>
      <c r="C193" s="19" t="s">
        <v>713</v>
      </c>
      <c r="D193" s="124" t="s">
        <v>714</v>
      </c>
      <c r="E193" s="4" t="s">
        <v>552</v>
      </c>
      <c r="F193" s="2" t="s">
        <v>715</v>
      </c>
      <c r="G193" s="65">
        <v>112.42</v>
      </c>
      <c r="H193" s="200">
        <v>5</v>
      </c>
      <c r="I193" s="200">
        <v>20</v>
      </c>
      <c r="L193" s="2">
        <v>5</v>
      </c>
      <c r="M193" s="2">
        <v>20</v>
      </c>
      <c r="N193" s="112">
        <v>44566</v>
      </c>
      <c r="O193" s="95">
        <v>44686</v>
      </c>
      <c r="P193" s="97" t="s">
        <v>716</v>
      </c>
      <c r="Q193" s="25" t="s">
        <v>717</v>
      </c>
      <c r="S193" s="2" t="s">
        <v>718</v>
      </c>
    </row>
    <row r="194" spans="1:29" x14ac:dyDescent="0.3">
      <c r="A194" s="2" t="s">
        <v>49</v>
      </c>
      <c r="B194" s="25" t="s">
        <v>373</v>
      </c>
      <c r="C194" s="2" t="s">
        <v>374</v>
      </c>
      <c r="D194" s="2" t="s">
        <v>719</v>
      </c>
      <c r="E194" s="4" t="s">
        <v>41</v>
      </c>
      <c r="F194" s="46" t="s">
        <v>720</v>
      </c>
      <c r="G194" s="25">
        <v>25.5</v>
      </c>
      <c r="H194" s="200">
        <v>1</v>
      </c>
      <c r="I194" s="200">
        <v>40</v>
      </c>
      <c r="L194" s="25"/>
      <c r="M194" s="5" t="s">
        <v>721</v>
      </c>
      <c r="N194" s="5">
        <v>40</v>
      </c>
      <c r="O194" s="2" t="s">
        <v>722</v>
      </c>
      <c r="P194" s="112" t="s">
        <v>723</v>
      </c>
      <c r="Q194" s="2" t="s">
        <v>724</v>
      </c>
      <c r="S194" s="2" t="s">
        <v>725</v>
      </c>
      <c r="U194" s="2" t="s">
        <v>726</v>
      </c>
    </row>
    <row r="195" spans="1:29" x14ac:dyDescent="0.3">
      <c r="A195" s="2" t="s">
        <v>49</v>
      </c>
      <c r="B195" s="598" t="s">
        <v>230</v>
      </c>
      <c r="C195" s="592" t="s">
        <v>727</v>
      </c>
      <c r="D195" s="592" t="s">
        <v>728</v>
      </c>
      <c r="F195" s="2" t="s">
        <v>729</v>
      </c>
      <c r="G195" s="2">
        <v>35</v>
      </c>
      <c r="Q195" s="592" t="s">
        <v>730</v>
      </c>
      <c r="S195" s="2" t="s">
        <v>725</v>
      </c>
    </row>
    <row r="196" spans="1:29" x14ac:dyDescent="0.3">
      <c r="A196" s="2" t="s">
        <v>49</v>
      </c>
      <c r="B196" s="598"/>
      <c r="C196" s="592"/>
      <c r="D196" s="592"/>
      <c r="F196" s="2" t="s">
        <v>731</v>
      </c>
      <c r="G196" s="2">
        <v>25</v>
      </c>
      <c r="Q196" s="592"/>
    </row>
    <row r="197" spans="1:29" ht="15.6" x14ac:dyDescent="0.3">
      <c r="A197" s="2" t="s">
        <v>55</v>
      </c>
      <c r="B197" s="25" t="s">
        <v>541</v>
      </c>
      <c r="C197" s="15" t="s">
        <v>558</v>
      </c>
      <c r="D197" s="15" t="s">
        <v>732</v>
      </c>
      <c r="E197" s="201" t="s">
        <v>41</v>
      </c>
      <c r="F197" s="20" t="s">
        <v>87</v>
      </c>
      <c r="G197" s="20">
        <v>240.63900000000001</v>
      </c>
      <c r="H197" s="202">
        <v>12</v>
      </c>
      <c r="I197" s="202">
        <v>20</v>
      </c>
      <c r="L197" s="34">
        <v>12</v>
      </c>
      <c r="M197" s="34">
        <v>20</v>
      </c>
      <c r="N197" s="87">
        <v>44565</v>
      </c>
      <c r="O197" s="97">
        <v>44597</v>
      </c>
      <c r="P197" s="4" t="s">
        <v>703</v>
      </c>
      <c r="Q197" s="25" t="s">
        <v>629</v>
      </c>
      <c r="R197" s="84" t="s">
        <v>561</v>
      </c>
      <c r="S197" s="25" t="s">
        <v>733</v>
      </c>
      <c r="T197" s="25"/>
    </row>
    <row r="198" spans="1:29" x14ac:dyDescent="0.3">
      <c r="A198" s="2" t="s">
        <v>67</v>
      </c>
      <c r="B198" s="25" t="s">
        <v>39</v>
      </c>
      <c r="C198" s="2" t="s">
        <v>563</v>
      </c>
      <c r="D198" s="19">
        <v>216662747</v>
      </c>
      <c r="E198" s="4" t="s">
        <v>41</v>
      </c>
      <c r="F198" s="7" t="s">
        <v>42</v>
      </c>
      <c r="G198" s="56">
        <v>26.091000000000001</v>
      </c>
      <c r="H198" s="199">
        <v>1</v>
      </c>
      <c r="I198" s="199">
        <v>40</v>
      </c>
      <c r="L198" s="56"/>
      <c r="M198" s="2">
        <v>1</v>
      </c>
      <c r="N198" s="2">
        <v>40</v>
      </c>
      <c r="O198" s="95" t="s">
        <v>628</v>
      </c>
      <c r="P198" s="112">
        <v>44870</v>
      </c>
      <c r="Q198" s="2" t="s">
        <v>629</v>
      </c>
      <c r="S198" s="2" t="s">
        <v>734</v>
      </c>
    </row>
    <row r="199" spans="1:29" x14ac:dyDescent="0.3">
      <c r="A199" s="2" t="s">
        <v>60</v>
      </c>
      <c r="B199" s="20" t="s">
        <v>94</v>
      </c>
      <c r="C199" s="6" t="s">
        <v>735</v>
      </c>
      <c r="D199" s="79" t="s">
        <v>736</v>
      </c>
      <c r="E199" s="6" t="s">
        <v>189</v>
      </c>
      <c r="F199" s="7" t="s">
        <v>102</v>
      </c>
      <c r="G199" s="65">
        <v>16.5</v>
      </c>
      <c r="H199" s="203">
        <v>1</v>
      </c>
      <c r="I199" s="203">
        <v>20</v>
      </c>
      <c r="L199" s="2">
        <v>1</v>
      </c>
      <c r="M199" s="2">
        <v>20</v>
      </c>
      <c r="N199" s="5" t="s">
        <v>606</v>
      </c>
      <c r="O199" s="96">
        <v>44597</v>
      </c>
      <c r="P199" s="25">
        <v>14</v>
      </c>
      <c r="Q199" s="25" t="s">
        <v>28</v>
      </c>
      <c r="S199" s="2" t="s">
        <v>737</v>
      </c>
    </row>
    <row r="200" spans="1:29" x14ac:dyDescent="0.3">
      <c r="A200" s="2" t="s">
        <v>60</v>
      </c>
      <c r="B200" s="25" t="s">
        <v>94</v>
      </c>
      <c r="C200" s="4" t="s">
        <v>738</v>
      </c>
      <c r="D200" s="2" t="s">
        <v>739</v>
      </c>
      <c r="E200" s="4" t="s">
        <v>189</v>
      </c>
      <c r="F200" s="16" t="s">
        <v>102</v>
      </c>
      <c r="G200" s="25">
        <v>16.5</v>
      </c>
      <c r="H200" s="203">
        <v>1</v>
      </c>
      <c r="I200" s="203">
        <v>20</v>
      </c>
      <c r="L200" s="2">
        <v>1</v>
      </c>
      <c r="M200" s="2">
        <v>20</v>
      </c>
      <c r="N200" s="5"/>
      <c r="O200" s="61" t="s">
        <v>740</v>
      </c>
      <c r="P200" s="25">
        <v>14</v>
      </c>
      <c r="Q200" s="25" t="s">
        <v>121</v>
      </c>
      <c r="S200" s="2" t="s">
        <v>741</v>
      </c>
    </row>
    <row r="201" spans="1:29" x14ac:dyDescent="0.3">
      <c r="A201" s="2" t="s">
        <v>55</v>
      </c>
      <c r="B201" s="20" t="s">
        <v>109</v>
      </c>
      <c r="C201" s="2" t="s">
        <v>742</v>
      </c>
      <c r="D201" s="20" t="s">
        <v>743</v>
      </c>
      <c r="E201" s="195" t="s">
        <v>112</v>
      </c>
      <c r="F201" s="20" t="s">
        <v>87</v>
      </c>
      <c r="G201" s="52">
        <v>362.33</v>
      </c>
      <c r="H201" s="34">
        <v>15</v>
      </c>
      <c r="I201" s="34">
        <v>20</v>
      </c>
      <c r="L201" s="48">
        <v>15</v>
      </c>
      <c r="M201" s="34">
        <v>20</v>
      </c>
      <c r="N201" s="87" t="s">
        <v>628</v>
      </c>
      <c r="O201" s="94">
        <v>44686</v>
      </c>
      <c r="P201" s="25" t="s">
        <v>744</v>
      </c>
      <c r="Q201" s="25" t="s">
        <v>745</v>
      </c>
      <c r="R201" s="25"/>
      <c r="S201" s="2" t="s">
        <v>746</v>
      </c>
      <c r="T201" s="112"/>
    </row>
    <row r="202" spans="1:29" ht="15.6" x14ac:dyDescent="0.3">
      <c r="A202" s="2" t="s">
        <v>55</v>
      </c>
      <c r="B202" s="25" t="s">
        <v>157</v>
      </c>
      <c r="C202" s="2" t="s">
        <v>747</v>
      </c>
      <c r="D202" s="25" t="s">
        <v>748</v>
      </c>
      <c r="E202" s="4" t="s">
        <v>503</v>
      </c>
      <c r="F202" s="20" t="s">
        <v>87</v>
      </c>
      <c r="G202" s="20">
        <v>496.30599999999998</v>
      </c>
      <c r="H202" s="196">
        <v>19</v>
      </c>
      <c r="I202" s="196">
        <v>40</v>
      </c>
      <c r="L202" s="34">
        <v>19</v>
      </c>
      <c r="M202" s="34">
        <v>40</v>
      </c>
      <c r="N202" s="87"/>
      <c r="O202" s="94">
        <v>44625</v>
      </c>
      <c r="P202" s="4" t="s">
        <v>703</v>
      </c>
      <c r="Q202" s="25" t="s">
        <v>749</v>
      </c>
      <c r="R202" s="84" t="s">
        <v>538</v>
      </c>
      <c r="S202" s="25" t="s">
        <v>750</v>
      </c>
    </row>
    <row r="203" spans="1:29" x14ac:dyDescent="0.3">
      <c r="A203" s="2" t="s">
        <v>60</v>
      </c>
      <c r="B203" s="25" t="s">
        <v>39</v>
      </c>
      <c r="C203" s="4" t="s">
        <v>751</v>
      </c>
      <c r="D203" s="3" t="s">
        <v>752</v>
      </c>
      <c r="E203" s="4" t="s">
        <v>41</v>
      </c>
      <c r="F203" s="7" t="s">
        <v>42</v>
      </c>
      <c r="G203" s="56">
        <v>469.84899999999999</v>
      </c>
      <c r="H203" s="199">
        <v>18</v>
      </c>
      <c r="I203" s="199">
        <v>40</v>
      </c>
      <c r="L203" s="25">
        <v>18</v>
      </c>
      <c r="M203" s="25">
        <v>40</v>
      </c>
      <c r="N203" s="34"/>
      <c r="O203" s="61" t="s">
        <v>753</v>
      </c>
      <c r="P203" s="97">
        <v>44900</v>
      </c>
      <c r="Q203" s="20" t="s">
        <v>754</v>
      </c>
      <c r="R203" s="2" t="s">
        <v>755</v>
      </c>
      <c r="S203" s="2" t="s">
        <v>756</v>
      </c>
      <c r="AC203" s="2" t="s">
        <v>757</v>
      </c>
    </row>
    <row r="204" spans="1:29" x14ac:dyDescent="0.3">
      <c r="B204" s="593" t="s">
        <v>758</v>
      </c>
      <c r="C204" s="592" t="s">
        <v>759</v>
      </c>
      <c r="F204" s="2" t="s">
        <v>760</v>
      </c>
      <c r="G204" s="2">
        <v>10000</v>
      </c>
      <c r="O204" s="594">
        <v>44656</v>
      </c>
      <c r="Q204" s="2" t="s">
        <v>463</v>
      </c>
      <c r="S204" s="2" t="s">
        <v>761</v>
      </c>
    </row>
    <row r="205" spans="1:29" x14ac:dyDescent="0.3">
      <c r="A205" s="2" t="s">
        <v>49</v>
      </c>
      <c r="B205" s="593"/>
      <c r="C205" s="592"/>
      <c r="F205" s="2" t="s">
        <v>762</v>
      </c>
      <c r="G205" s="2">
        <v>2000</v>
      </c>
      <c r="O205" s="592"/>
      <c r="Q205" s="2" t="s">
        <v>463</v>
      </c>
    </row>
    <row r="206" spans="1:29" x14ac:dyDescent="0.3">
      <c r="A206" s="2" t="s">
        <v>49</v>
      </c>
      <c r="B206" s="124" t="s">
        <v>758</v>
      </c>
      <c r="C206" s="122" t="s">
        <v>763</v>
      </c>
      <c r="F206" s="67" t="s">
        <v>764</v>
      </c>
      <c r="G206" s="25">
        <v>100</v>
      </c>
      <c r="O206" s="95">
        <v>44656</v>
      </c>
      <c r="Q206" s="2" t="s">
        <v>463</v>
      </c>
    </row>
    <row r="207" spans="1:29" x14ac:dyDescent="0.3">
      <c r="A207" s="2" t="s">
        <v>49</v>
      </c>
      <c r="B207" s="123" t="s">
        <v>765</v>
      </c>
      <c r="C207" s="19" t="s">
        <v>766</v>
      </c>
      <c r="F207" s="2" t="s">
        <v>767</v>
      </c>
      <c r="G207" s="2">
        <v>15000</v>
      </c>
      <c r="O207" s="95">
        <v>44656</v>
      </c>
      <c r="Q207" s="2" t="s">
        <v>463</v>
      </c>
      <c r="S207" s="112" t="s">
        <v>768</v>
      </c>
    </row>
    <row r="208" spans="1:29" x14ac:dyDescent="0.3">
      <c r="A208" s="2" t="s">
        <v>60</v>
      </c>
      <c r="B208" s="25" t="s">
        <v>769</v>
      </c>
      <c r="C208" s="4" t="s">
        <v>770</v>
      </c>
      <c r="D208" s="25" t="s">
        <v>771</v>
      </c>
      <c r="E208" s="94"/>
      <c r="F208" s="2" t="s">
        <v>772</v>
      </c>
      <c r="H208" s="34"/>
      <c r="I208" s="34"/>
      <c r="L208" s="2">
        <v>1</v>
      </c>
      <c r="O208" s="61" t="s">
        <v>628</v>
      </c>
      <c r="Q208" s="25" t="s">
        <v>28</v>
      </c>
      <c r="S208" s="2" t="s">
        <v>773</v>
      </c>
    </row>
    <row r="209" spans="1:38" ht="15.6" x14ac:dyDescent="0.3">
      <c r="A209" s="2" t="s">
        <v>60</v>
      </c>
      <c r="B209" s="11" t="s">
        <v>39</v>
      </c>
      <c r="C209" s="20" t="s">
        <v>774</v>
      </c>
      <c r="D209" s="4">
        <v>215420667</v>
      </c>
      <c r="E209" s="96" t="s">
        <v>41</v>
      </c>
      <c r="F209" s="7" t="s">
        <v>42</v>
      </c>
      <c r="G209" s="47">
        <v>469.49599999999998</v>
      </c>
      <c r="H209" s="199">
        <v>18</v>
      </c>
      <c r="I209" s="199">
        <v>40</v>
      </c>
      <c r="L209" s="25">
        <v>18</v>
      </c>
      <c r="M209" s="25">
        <v>40</v>
      </c>
      <c r="N209" s="34"/>
      <c r="O209" s="61" t="s">
        <v>775</v>
      </c>
      <c r="P209" s="2" t="s">
        <v>692</v>
      </c>
      <c r="Q209" s="2" t="s">
        <v>634</v>
      </c>
      <c r="R209" s="95">
        <v>44809</v>
      </c>
      <c r="S209" s="2" t="s">
        <v>776</v>
      </c>
    </row>
    <row r="210" spans="1:38" ht="15.6" x14ac:dyDescent="0.3">
      <c r="A210" s="2" t="s">
        <v>38</v>
      </c>
      <c r="B210" s="25" t="s">
        <v>157</v>
      </c>
      <c r="C210" s="25" t="s">
        <v>777</v>
      </c>
      <c r="D210" s="25" t="s">
        <v>778</v>
      </c>
      <c r="E210" s="4" t="s">
        <v>112</v>
      </c>
      <c r="F210" s="20" t="s">
        <v>87</v>
      </c>
      <c r="G210" s="20">
        <v>261.40800000000002</v>
      </c>
      <c r="H210" s="196">
        <v>10</v>
      </c>
      <c r="I210" s="196">
        <v>40</v>
      </c>
      <c r="L210" s="34">
        <v>10</v>
      </c>
      <c r="M210" s="34">
        <v>40</v>
      </c>
      <c r="N210" s="87" t="s">
        <v>598</v>
      </c>
      <c r="O210" s="94">
        <v>44686</v>
      </c>
      <c r="P210" s="25" t="s">
        <v>779</v>
      </c>
      <c r="Q210" s="25" t="s">
        <v>780</v>
      </c>
      <c r="R210" s="84" t="s">
        <v>688</v>
      </c>
      <c r="S210" s="2" t="s">
        <v>781</v>
      </c>
      <c r="U210" s="2" t="s">
        <v>782</v>
      </c>
    </row>
    <row r="211" spans="1:38" x14ac:dyDescent="0.3">
      <c r="A211" s="2" t="s">
        <v>38</v>
      </c>
      <c r="B211" s="25" t="s">
        <v>783</v>
      </c>
      <c r="C211" s="107" t="s">
        <v>784</v>
      </c>
      <c r="D211" s="2" t="s">
        <v>785</v>
      </c>
      <c r="E211" s="94" t="s">
        <v>41</v>
      </c>
      <c r="F211" s="2" t="s">
        <v>786</v>
      </c>
      <c r="G211" s="20">
        <v>20</v>
      </c>
      <c r="H211" s="5">
        <v>1</v>
      </c>
      <c r="I211" s="5">
        <v>40</v>
      </c>
      <c r="L211" s="5">
        <v>1</v>
      </c>
      <c r="M211" s="5">
        <v>40</v>
      </c>
      <c r="N211" s="2" t="s">
        <v>587</v>
      </c>
      <c r="O211" s="95">
        <v>44900</v>
      </c>
      <c r="P211" s="2" t="s">
        <v>787</v>
      </c>
      <c r="Q211" s="2" t="s">
        <v>788</v>
      </c>
      <c r="R211" s="2" t="s">
        <v>703</v>
      </c>
      <c r="S211" s="2" t="s">
        <v>789</v>
      </c>
      <c r="U211" s="2" t="s">
        <v>782</v>
      </c>
      <c r="V211" s="2" t="s">
        <v>121</v>
      </c>
    </row>
    <row r="212" spans="1:38" x14ac:dyDescent="0.3">
      <c r="A212" s="2" t="s">
        <v>55</v>
      </c>
      <c r="B212" s="25" t="s">
        <v>581</v>
      </c>
      <c r="C212" s="107" t="s">
        <v>790</v>
      </c>
      <c r="D212" s="19">
        <v>216716682</v>
      </c>
      <c r="E212" s="4" t="s">
        <v>41</v>
      </c>
      <c r="F212" s="16" t="s">
        <v>205</v>
      </c>
      <c r="G212" s="23">
        <v>50</v>
      </c>
      <c r="H212" s="5">
        <v>2</v>
      </c>
      <c r="I212" s="5">
        <v>20</v>
      </c>
      <c r="L212" s="5">
        <v>2</v>
      </c>
      <c r="M212" s="34">
        <v>20</v>
      </c>
      <c r="N212" s="2" t="s">
        <v>546</v>
      </c>
      <c r="O212" s="95">
        <v>44778</v>
      </c>
      <c r="P212" s="2" t="s">
        <v>791</v>
      </c>
      <c r="Q212" s="2" t="s">
        <v>724</v>
      </c>
      <c r="R212" s="112">
        <v>44717</v>
      </c>
      <c r="S212" s="2" t="s">
        <v>789</v>
      </c>
    </row>
    <row r="213" spans="1:38" x14ac:dyDescent="0.3">
      <c r="A213" s="2" t="s">
        <v>55</v>
      </c>
      <c r="B213" s="25" t="s">
        <v>478</v>
      </c>
      <c r="C213" s="25" t="s">
        <v>479</v>
      </c>
      <c r="D213" s="25" t="s">
        <v>792</v>
      </c>
      <c r="E213" s="195" t="s">
        <v>503</v>
      </c>
      <c r="F213" s="16" t="s">
        <v>205</v>
      </c>
      <c r="G213" s="65">
        <v>102.96</v>
      </c>
      <c r="H213" s="204">
        <v>4</v>
      </c>
      <c r="I213" s="204">
        <v>40</v>
      </c>
      <c r="L213" s="34">
        <v>4</v>
      </c>
      <c r="M213" s="34">
        <v>40</v>
      </c>
      <c r="N213" s="84" t="s">
        <v>586</v>
      </c>
      <c r="O213" s="94">
        <v>44839</v>
      </c>
      <c r="P213" s="25" t="s">
        <v>793</v>
      </c>
      <c r="Q213" s="25" t="s">
        <v>724</v>
      </c>
      <c r="R213" s="84" t="s">
        <v>484</v>
      </c>
      <c r="S213" s="2" t="s">
        <v>794</v>
      </c>
      <c r="U213" s="2" t="s">
        <v>795</v>
      </c>
      <c r="W213" s="2" t="s">
        <v>796</v>
      </c>
    </row>
    <row r="214" spans="1:38" x14ac:dyDescent="0.3">
      <c r="A214" s="2" t="s">
        <v>49</v>
      </c>
      <c r="B214" s="123" t="s">
        <v>384</v>
      </c>
      <c r="C214" s="19" t="s">
        <v>797</v>
      </c>
      <c r="D214" s="19" t="s">
        <v>798</v>
      </c>
      <c r="F214" s="2" t="s">
        <v>386</v>
      </c>
      <c r="G214" s="2">
        <v>54</v>
      </c>
      <c r="M214" s="5">
        <v>2</v>
      </c>
      <c r="O214" s="2" t="s">
        <v>703</v>
      </c>
      <c r="Q214" s="2" t="s">
        <v>463</v>
      </c>
      <c r="R214" s="2" t="s">
        <v>799</v>
      </c>
    </row>
    <row r="215" spans="1:38" x14ac:dyDescent="0.3">
      <c r="A215" s="2" t="s">
        <v>55</v>
      </c>
      <c r="B215" s="25" t="s">
        <v>700</v>
      </c>
      <c r="C215" s="15" t="s">
        <v>800</v>
      </c>
      <c r="D215" s="19">
        <v>216222198</v>
      </c>
      <c r="E215" s="4" t="s">
        <v>41</v>
      </c>
      <c r="F215" s="25" t="s">
        <v>87</v>
      </c>
      <c r="G215" s="2">
        <v>548.83799999999997</v>
      </c>
      <c r="H215" s="5">
        <v>24</v>
      </c>
      <c r="I215" s="5">
        <v>20</v>
      </c>
      <c r="L215" s="154">
        <v>24</v>
      </c>
      <c r="M215" s="34">
        <v>20</v>
      </c>
      <c r="N215" s="19" t="s">
        <v>672</v>
      </c>
      <c r="O215" s="112">
        <v>44870</v>
      </c>
      <c r="P215" s="2" t="s">
        <v>801</v>
      </c>
      <c r="Q215" s="2" t="s">
        <v>634</v>
      </c>
      <c r="S215" s="2" t="s">
        <v>802</v>
      </c>
      <c r="W215" s="2" t="s">
        <v>803</v>
      </c>
    </row>
    <row r="216" spans="1:38" x14ac:dyDescent="0.3">
      <c r="A216" s="2" t="s">
        <v>73</v>
      </c>
      <c r="B216" s="25" t="s">
        <v>39</v>
      </c>
      <c r="C216" s="63" t="s">
        <v>804</v>
      </c>
      <c r="D216" s="19">
        <v>215420889</v>
      </c>
      <c r="E216" s="205" t="s">
        <v>41</v>
      </c>
      <c r="F216" s="2" t="s">
        <v>805</v>
      </c>
      <c r="G216" s="140">
        <v>470.15100000000001</v>
      </c>
      <c r="H216" s="199">
        <v>18</v>
      </c>
      <c r="I216" s="199">
        <v>40</v>
      </c>
      <c r="L216" s="2">
        <v>18</v>
      </c>
      <c r="M216" s="2">
        <v>40</v>
      </c>
      <c r="N216" s="64"/>
      <c r="O216" s="95">
        <v>44597</v>
      </c>
      <c r="P216" s="2" t="s">
        <v>703</v>
      </c>
      <c r="Q216" s="2" t="s">
        <v>806</v>
      </c>
      <c r="R216" s="112">
        <v>44717</v>
      </c>
      <c r="S216" s="2" t="s">
        <v>807</v>
      </c>
    </row>
    <row r="217" spans="1:38" x14ac:dyDescent="0.3">
      <c r="A217" s="2" t="s">
        <v>49</v>
      </c>
      <c r="B217" s="124" t="s">
        <v>166</v>
      </c>
      <c r="C217" s="19" t="s">
        <v>808</v>
      </c>
      <c r="D217" s="206">
        <v>59815495</v>
      </c>
      <c r="E217" s="4" t="s">
        <v>809</v>
      </c>
      <c r="F217" s="67" t="s">
        <v>810</v>
      </c>
      <c r="G217" s="25">
        <v>56</v>
      </c>
      <c r="M217" s="5">
        <v>2</v>
      </c>
      <c r="N217" s="5"/>
      <c r="O217" s="2" t="s">
        <v>793</v>
      </c>
      <c r="Q217" s="2" t="s">
        <v>121</v>
      </c>
      <c r="R217" s="2" t="s">
        <v>787</v>
      </c>
      <c r="S217" s="2" t="s">
        <v>811</v>
      </c>
    </row>
    <row r="218" spans="1:38" x14ac:dyDescent="0.3">
      <c r="A218" s="2" t="s">
        <v>49</v>
      </c>
      <c r="B218" s="16" t="s">
        <v>812</v>
      </c>
      <c r="C218" s="19" t="s">
        <v>813</v>
      </c>
      <c r="D218" s="25" t="s">
        <v>814</v>
      </c>
      <c r="E218" s="4" t="s">
        <v>312</v>
      </c>
      <c r="F218" s="67" t="s">
        <v>815</v>
      </c>
      <c r="G218" s="25">
        <v>24.75</v>
      </c>
      <c r="H218" s="34">
        <v>1</v>
      </c>
      <c r="I218" s="34">
        <v>20</v>
      </c>
      <c r="M218" s="5">
        <v>1</v>
      </c>
      <c r="O218" s="112" t="s">
        <v>816</v>
      </c>
      <c r="P218" s="2" t="s">
        <v>817</v>
      </c>
      <c r="Q218" s="2" t="s">
        <v>28</v>
      </c>
      <c r="R218" s="2" t="s">
        <v>818</v>
      </c>
      <c r="S218" s="2" t="s">
        <v>811</v>
      </c>
    </row>
    <row r="219" spans="1:38" x14ac:dyDescent="0.3">
      <c r="A219" s="2" t="s">
        <v>60</v>
      </c>
      <c r="B219" s="25" t="s">
        <v>819</v>
      </c>
      <c r="C219" s="4" t="s">
        <v>820</v>
      </c>
      <c r="D219" s="19">
        <v>209601629</v>
      </c>
      <c r="E219" s="4" t="s">
        <v>821</v>
      </c>
      <c r="F219" s="2" t="s">
        <v>822</v>
      </c>
      <c r="G219" s="44" t="s">
        <v>823</v>
      </c>
      <c r="O219" s="112">
        <v>44839</v>
      </c>
      <c r="Q219" s="25" t="s">
        <v>121</v>
      </c>
      <c r="S219" s="2" t="s">
        <v>824</v>
      </c>
    </row>
    <row r="220" spans="1:38" x14ac:dyDescent="0.3">
      <c r="A220" s="2" t="s">
        <v>55</v>
      </c>
      <c r="B220" s="25" t="s">
        <v>825</v>
      </c>
      <c r="C220" s="25" t="s">
        <v>826</v>
      </c>
      <c r="D220" s="19">
        <v>425300041</v>
      </c>
      <c r="E220" s="4" t="s">
        <v>827</v>
      </c>
      <c r="F220" s="2" t="s">
        <v>828</v>
      </c>
      <c r="G220" s="2">
        <v>10</v>
      </c>
      <c r="L220" s="5">
        <v>1</v>
      </c>
      <c r="O220" s="25" t="s">
        <v>791</v>
      </c>
      <c r="Q220" s="2" t="s">
        <v>121</v>
      </c>
      <c r="R220" s="2" t="s">
        <v>787</v>
      </c>
      <c r="S220" s="2" t="s">
        <v>829</v>
      </c>
    </row>
    <row r="221" spans="1:38" x14ac:dyDescent="0.3">
      <c r="A221" s="2" t="s">
        <v>55</v>
      </c>
      <c r="B221" s="25" t="s">
        <v>700</v>
      </c>
      <c r="C221" s="20" t="s">
        <v>830</v>
      </c>
      <c r="D221" s="19">
        <v>216222219</v>
      </c>
      <c r="E221" s="94" t="s">
        <v>41</v>
      </c>
      <c r="F221" s="25" t="s">
        <v>87</v>
      </c>
      <c r="G221" s="111">
        <v>1062.4670000000001</v>
      </c>
      <c r="H221" s="5">
        <v>46</v>
      </c>
      <c r="I221" s="5">
        <v>20</v>
      </c>
      <c r="L221" s="5">
        <v>46</v>
      </c>
      <c r="M221" s="34">
        <v>20</v>
      </c>
      <c r="N221" s="2" t="s">
        <v>672</v>
      </c>
      <c r="O221" s="112">
        <v>44900</v>
      </c>
      <c r="P221" s="44" t="s">
        <v>831</v>
      </c>
      <c r="Q221" s="2" t="s">
        <v>634</v>
      </c>
      <c r="R221" s="2" t="s">
        <v>697</v>
      </c>
      <c r="S221" s="2" t="s">
        <v>832</v>
      </c>
      <c r="T221" s="112"/>
      <c r="AC221" s="2" t="s">
        <v>833</v>
      </c>
    </row>
    <row r="222" spans="1:38" ht="15.6" x14ac:dyDescent="0.3">
      <c r="A222" s="2" t="s">
        <v>60</v>
      </c>
      <c r="B222" s="191" t="s">
        <v>39</v>
      </c>
      <c r="C222" s="73" t="s">
        <v>530</v>
      </c>
      <c r="D222" s="15" t="s">
        <v>834</v>
      </c>
      <c r="E222" s="207" t="s">
        <v>41</v>
      </c>
      <c r="F222" s="7" t="s">
        <v>42</v>
      </c>
      <c r="G222" s="57">
        <v>181.80099999999999</v>
      </c>
      <c r="H222" s="199">
        <v>7</v>
      </c>
      <c r="I222" s="199">
        <v>40</v>
      </c>
      <c r="L222" s="2">
        <v>7</v>
      </c>
      <c r="M222" s="2">
        <v>40</v>
      </c>
      <c r="N222" s="5"/>
      <c r="O222" s="96">
        <v>44778</v>
      </c>
      <c r="P222" s="25" t="s">
        <v>801</v>
      </c>
      <c r="Q222" s="25" t="s">
        <v>835</v>
      </c>
      <c r="R222" s="2" t="s">
        <v>586</v>
      </c>
      <c r="S222" s="2" t="s">
        <v>836</v>
      </c>
      <c r="Y222" s="2" t="s">
        <v>837</v>
      </c>
    </row>
    <row r="223" spans="1:38" ht="57.6" x14ac:dyDescent="0.3">
      <c r="A223" s="2" t="s">
        <v>60</v>
      </c>
      <c r="B223" s="191" t="s">
        <v>39</v>
      </c>
      <c r="C223" s="20" t="s">
        <v>838</v>
      </c>
      <c r="D223" s="4">
        <v>216968297</v>
      </c>
      <c r="E223" s="94" t="s">
        <v>41</v>
      </c>
      <c r="F223" s="7" t="s">
        <v>42</v>
      </c>
      <c r="G223" s="2">
        <v>364.435</v>
      </c>
      <c r="H223" s="208">
        <v>14</v>
      </c>
      <c r="I223" s="208">
        <v>40</v>
      </c>
      <c r="L223" s="2">
        <v>14</v>
      </c>
      <c r="M223" s="44">
        <v>40</v>
      </c>
      <c r="N223" s="44" t="s">
        <v>628</v>
      </c>
      <c r="O223" s="20" t="s">
        <v>839</v>
      </c>
      <c r="P223" s="2" t="s">
        <v>831</v>
      </c>
      <c r="Q223" s="24" t="s">
        <v>840</v>
      </c>
      <c r="R223" s="2" t="s">
        <v>841</v>
      </c>
      <c r="S223" s="2" t="s">
        <v>842</v>
      </c>
      <c r="AH223" s="2" t="s">
        <v>843</v>
      </c>
      <c r="AL223" s="2" t="s">
        <v>833</v>
      </c>
    </row>
    <row r="224" spans="1:38" x14ac:dyDescent="0.3">
      <c r="A224" s="2" t="s">
        <v>73</v>
      </c>
      <c r="B224" s="25" t="s">
        <v>39</v>
      </c>
      <c r="C224" s="2" t="s">
        <v>844</v>
      </c>
      <c r="D224" s="19">
        <v>216968344</v>
      </c>
      <c r="E224" s="4" t="s">
        <v>41</v>
      </c>
      <c r="F224" s="7" t="s">
        <v>42</v>
      </c>
      <c r="G224" s="2">
        <v>468.68900000000002</v>
      </c>
      <c r="H224" s="199"/>
      <c r="I224" s="199"/>
      <c r="L224" s="2">
        <v>18</v>
      </c>
      <c r="M224" s="2">
        <v>40</v>
      </c>
      <c r="N224" s="2" t="s">
        <v>697</v>
      </c>
      <c r="O224" s="2" t="s">
        <v>845</v>
      </c>
      <c r="P224" s="2" t="s">
        <v>846</v>
      </c>
      <c r="Q224" s="2" t="s">
        <v>634</v>
      </c>
      <c r="R224" s="112">
        <v>44778</v>
      </c>
      <c r="S224" s="2" t="s">
        <v>847</v>
      </c>
      <c r="T224" s="112"/>
      <c r="U224" s="2" t="s">
        <v>848</v>
      </c>
    </row>
    <row r="225" spans="1:30" ht="15.6" x14ac:dyDescent="0.3">
      <c r="A225" s="2" t="s">
        <v>55</v>
      </c>
      <c r="B225" s="25" t="s">
        <v>130</v>
      </c>
      <c r="C225" s="15" t="s">
        <v>453</v>
      </c>
      <c r="D225" s="127" t="s">
        <v>849</v>
      </c>
      <c r="E225" s="201" t="s">
        <v>472</v>
      </c>
      <c r="F225" s="20" t="s">
        <v>87</v>
      </c>
      <c r="G225" s="20">
        <v>300.75099999999998</v>
      </c>
      <c r="H225" s="199">
        <v>12</v>
      </c>
      <c r="I225" s="199">
        <v>20</v>
      </c>
      <c r="L225" s="34">
        <v>12</v>
      </c>
      <c r="M225" s="34">
        <v>20</v>
      </c>
      <c r="N225" s="87" t="s">
        <v>628</v>
      </c>
      <c r="O225" s="94" t="s">
        <v>850</v>
      </c>
      <c r="P225" s="25" t="s">
        <v>817</v>
      </c>
      <c r="Q225" s="20" t="s">
        <v>634</v>
      </c>
      <c r="R225" s="84" t="s">
        <v>474</v>
      </c>
      <c r="S225" s="2" t="s">
        <v>851</v>
      </c>
      <c r="U225" s="209" t="s">
        <v>852</v>
      </c>
    </row>
    <row r="226" spans="1:30" ht="15.6" x14ac:dyDescent="0.3">
      <c r="A226" s="2" t="s">
        <v>529</v>
      </c>
      <c r="B226" s="191" t="s">
        <v>39</v>
      </c>
      <c r="C226" s="20" t="s">
        <v>838</v>
      </c>
      <c r="D226" s="26" t="s">
        <v>853</v>
      </c>
      <c r="E226" s="4" t="s">
        <v>41</v>
      </c>
      <c r="F226" s="7" t="s">
        <v>42</v>
      </c>
      <c r="G226" s="57">
        <v>103.991</v>
      </c>
      <c r="H226" s="199">
        <v>4</v>
      </c>
      <c r="I226" s="199">
        <v>40</v>
      </c>
      <c r="L226" s="2">
        <v>4</v>
      </c>
      <c r="M226" s="2">
        <v>40</v>
      </c>
      <c r="N226" s="112">
        <v>44656</v>
      </c>
      <c r="O226" s="61" t="s">
        <v>779</v>
      </c>
      <c r="P226" s="97">
        <v>44687</v>
      </c>
      <c r="Q226" s="25" t="s">
        <v>854</v>
      </c>
      <c r="R226" s="2" t="s">
        <v>855</v>
      </c>
      <c r="S226" s="2" t="s">
        <v>856</v>
      </c>
    </row>
    <row r="227" spans="1:30" x14ac:dyDescent="0.3">
      <c r="A227" s="2" t="s">
        <v>55</v>
      </c>
      <c r="B227" s="20" t="s">
        <v>857</v>
      </c>
      <c r="C227" s="25" t="s">
        <v>858</v>
      </c>
      <c r="D227" s="25" t="s">
        <v>859</v>
      </c>
      <c r="E227" s="4" t="s">
        <v>112</v>
      </c>
      <c r="F227" s="25" t="s">
        <v>860</v>
      </c>
      <c r="G227" s="65">
        <v>211.51</v>
      </c>
      <c r="H227" s="34">
        <v>10</v>
      </c>
      <c r="I227" s="34">
        <v>20</v>
      </c>
      <c r="L227" s="34">
        <v>10</v>
      </c>
      <c r="M227" s="34">
        <v>20</v>
      </c>
      <c r="N227" s="34"/>
      <c r="O227" s="94" t="s">
        <v>861</v>
      </c>
      <c r="P227" s="97">
        <v>44687</v>
      </c>
      <c r="Q227" s="25" t="s">
        <v>862</v>
      </c>
      <c r="R227" s="25" t="s">
        <v>688</v>
      </c>
      <c r="S227" s="25" t="s">
        <v>863</v>
      </c>
      <c r="T227" s="25"/>
    </row>
    <row r="228" spans="1:30" x14ac:dyDescent="0.3">
      <c r="A228" s="2" t="s">
        <v>55</v>
      </c>
      <c r="B228" s="25" t="s">
        <v>864</v>
      </c>
      <c r="F228" s="2" t="s">
        <v>865</v>
      </c>
      <c r="G228" s="2">
        <v>33</v>
      </c>
      <c r="O228" s="25" t="s">
        <v>866</v>
      </c>
      <c r="Q228" s="2" t="s">
        <v>212</v>
      </c>
      <c r="S228" s="2" t="s">
        <v>867</v>
      </c>
    </row>
    <row r="229" spans="1:30" x14ac:dyDescent="0.3">
      <c r="A229" s="2" t="s">
        <v>344</v>
      </c>
      <c r="B229" s="20" t="s">
        <v>857</v>
      </c>
      <c r="C229" s="25" t="s">
        <v>868</v>
      </c>
      <c r="D229" s="25" t="s">
        <v>869</v>
      </c>
      <c r="E229" s="4" t="s">
        <v>503</v>
      </c>
      <c r="F229" s="25" t="s">
        <v>860</v>
      </c>
      <c r="G229" s="20">
        <v>207.63</v>
      </c>
      <c r="H229" s="34">
        <v>10</v>
      </c>
      <c r="I229" s="34">
        <v>20</v>
      </c>
      <c r="L229" s="5">
        <v>10</v>
      </c>
      <c r="M229" s="34">
        <v>20</v>
      </c>
      <c r="N229" s="5"/>
      <c r="O229" s="95" t="s">
        <v>861</v>
      </c>
      <c r="P229" s="112">
        <v>44687</v>
      </c>
      <c r="Q229" s="2" t="s">
        <v>870</v>
      </c>
      <c r="R229" s="95">
        <v>44809</v>
      </c>
      <c r="S229" s="2" t="s">
        <v>871</v>
      </c>
      <c r="U229" s="2" t="s">
        <v>872</v>
      </c>
    </row>
    <row r="230" spans="1:30" x14ac:dyDescent="0.3">
      <c r="A230" s="2" t="s">
        <v>55</v>
      </c>
      <c r="B230" s="25" t="s">
        <v>652</v>
      </c>
      <c r="C230" s="2" t="s">
        <v>873</v>
      </c>
      <c r="D230" s="25" t="s">
        <v>874</v>
      </c>
      <c r="E230" s="195" t="s">
        <v>503</v>
      </c>
      <c r="F230" s="20" t="s">
        <v>87</v>
      </c>
      <c r="G230" s="20">
        <v>212.964</v>
      </c>
      <c r="H230" s="210">
        <v>10</v>
      </c>
      <c r="I230" s="210">
        <v>20</v>
      </c>
      <c r="L230" s="34">
        <v>10</v>
      </c>
      <c r="M230" s="34">
        <v>20</v>
      </c>
      <c r="N230" s="87" t="s">
        <v>875</v>
      </c>
      <c r="O230" s="94" t="s">
        <v>876</v>
      </c>
      <c r="P230" s="97">
        <v>44840</v>
      </c>
      <c r="Q230" s="25" t="s">
        <v>516</v>
      </c>
      <c r="R230" s="84" t="s">
        <v>477</v>
      </c>
      <c r="S230" s="2" t="s">
        <v>877</v>
      </c>
      <c r="U230" s="2" t="s">
        <v>878</v>
      </c>
      <c r="W230" s="2" t="s">
        <v>879</v>
      </c>
    </row>
    <row r="231" spans="1:30" x14ac:dyDescent="0.3">
      <c r="A231" s="2" t="s">
        <v>55</v>
      </c>
      <c r="B231" s="25" t="s">
        <v>700</v>
      </c>
      <c r="C231" s="15" t="s">
        <v>800</v>
      </c>
      <c r="D231" s="19">
        <v>216634975</v>
      </c>
      <c r="E231" s="4" t="s">
        <v>41</v>
      </c>
      <c r="F231" s="25" t="s">
        <v>87</v>
      </c>
      <c r="G231" s="2">
        <v>112.646</v>
      </c>
      <c r="H231" s="5">
        <v>5</v>
      </c>
      <c r="I231" s="5">
        <v>20</v>
      </c>
      <c r="L231" s="5">
        <v>5</v>
      </c>
      <c r="M231" s="34">
        <v>20</v>
      </c>
      <c r="N231" s="95">
        <v>44656</v>
      </c>
      <c r="O231" s="2" t="s">
        <v>846</v>
      </c>
      <c r="P231" s="112">
        <v>44871</v>
      </c>
      <c r="Q231" s="2" t="s">
        <v>516</v>
      </c>
      <c r="R231" s="2" t="s">
        <v>697</v>
      </c>
      <c r="S231" s="112">
        <v>44598</v>
      </c>
      <c r="T231" s="2" t="s">
        <v>880</v>
      </c>
      <c r="V231" s="2" t="s">
        <v>881</v>
      </c>
    </row>
    <row r="232" spans="1:30" x14ac:dyDescent="0.3">
      <c r="A232" s="2" t="s">
        <v>55</v>
      </c>
      <c r="B232" s="25" t="s">
        <v>700</v>
      </c>
      <c r="C232" s="15" t="s">
        <v>800</v>
      </c>
      <c r="D232" s="15" t="s">
        <v>882</v>
      </c>
      <c r="E232" s="4" t="s">
        <v>41</v>
      </c>
      <c r="F232" s="25" t="s">
        <v>87</v>
      </c>
      <c r="G232" s="20">
        <v>432.64499999999998</v>
      </c>
      <c r="H232" s="5">
        <v>19</v>
      </c>
      <c r="I232" s="5">
        <v>20</v>
      </c>
      <c r="L232" s="5">
        <v>19</v>
      </c>
      <c r="M232" s="34">
        <v>20</v>
      </c>
      <c r="N232" s="95">
        <v>44686</v>
      </c>
      <c r="O232" s="2" t="s">
        <v>779</v>
      </c>
      <c r="P232" s="112">
        <v>44687</v>
      </c>
      <c r="Q232" s="2" t="s">
        <v>883</v>
      </c>
      <c r="S232" s="2" t="s">
        <v>884</v>
      </c>
      <c r="V232" s="2" t="s">
        <v>885</v>
      </c>
      <c r="Y232" s="2" t="s">
        <v>886</v>
      </c>
      <c r="AD232" s="2" t="s">
        <v>887</v>
      </c>
    </row>
    <row r="233" spans="1:30" ht="15.6" x14ac:dyDescent="0.3">
      <c r="A233" s="2" t="s">
        <v>60</v>
      </c>
      <c r="B233" s="11" t="s">
        <v>39</v>
      </c>
      <c r="C233" s="20" t="s">
        <v>888</v>
      </c>
      <c r="D233" s="4">
        <v>216355436</v>
      </c>
      <c r="E233" s="6" t="s">
        <v>41</v>
      </c>
      <c r="F233" s="7" t="s">
        <v>42</v>
      </c>
      <c r="G233" s="57">
        <v>442.29899999999998</v>
      </c>
      <c r="H233" s="199">
        <v>17</v>
      </c>
      <c r="I233" s="199">
        <v>40</v>
      </c>
      <c r="L233" s="25">
        <v>17</v>
      </c>
      <c r="M233" s="25">
        <v>40</v>
      </c>
      <c r="N233" s="34"/>
      <c r="O233" s="20" t="s">
        <v>846</v>
      </c>
      <c r="P233" s="97">
        <v>44871</v>
      </c>
      <c r="Q233" s="25" t="s">
        <v>889</v>
      </c>
      <c r="S233" s="2" t="s">
        <v>890</v>
      </c>
    </row>
    <row r="234" spans="1:30" x14ac:dyDescent="0.3">
      <c r="B234" s="25" t="s">
        <v>891</v>
      </c>
      <c r="D234" s="19">
        <v>443534</v>
      </c>
      <c r="E234" s="4" t="s">
        <v>892</v>
      </c>
      <c r="F234" s="2" t="s">
        <v>893</v>
      </c>
      <c r="G234" s="2">
        <v>5</v>
      </c>
      <c r="O234" s="2" t="s">
        <v>793</v>
      </c>
      <c r="Q234" s="2" t="s">
        <v>121</v>
      </c>
      <c r="R234" s="95">
        <v>44870</v>
      </c>
      <c r="S234" s="2" t="s">
        <v>894</v>
      </c>
    </row>
    <row r="235" spans="1:30" x14ac:dyDescent="0.3">
      <c r="A235" s="2" t="s">
        <v>60</v>
      </c>
      <c r="B235" s="25" t="s">
        <v>895</v>
      </c>
      <c r="C235" s="4" t="s">
        <v>896</v>
      </c>
      <c r="D235" s="19">
        <v>524304117</v>
      </c>
      <c r="E235" s="94" t="s">
        <v>897</v>
      </c>
      <c r="F235" s="7" t="s">
        <v>898</v>
      </c>
      <c r="G235" s="2">
        <v>4</v>
      </c>
      <c r="O235" s="2" t="s">
        <v>831</v>
      </c>
      <c r="Q235" s="25" t="s">
        <v>28</v>
      </c>
      <c r="S235" s="2" t="s">
        <v>899</v>
      </c>
    </row>
    <row r="236" spans="1:30" x14ac:dyDescent="0.3">
      <c r="A236" s="2" t="s">
        <v>55</v>
      </c>
      <c r="B236" s="20" t="s">
        <v>900</v>
      </c>
      <c r="C236" s="20" t="s">
        <v>901</v>
      </c>
      <c r="D236" s="3" t="s">
        <v>902</v>
      </c>
      <c r="E236" s="4" t="s">
        <v>41</v>
      </c>
      <c r="F236" s="25" t="s">
        <v>903</v>
      </c>
      <c r="G236" s="20">
        <v>20</v>
      </c>
      <c r="H236" s="5">
        <v>1</v>
      </c>
      <c r="I236" s="5">
        <v>20</v>
      </c>
      <c r="L236" s="5">
        <v>1</v>
      </c>
      <c r="M236" s="34">
        <v>20</v>
      </c>
      <c r="N236" s="2" t="s">
        <v>546</v>
      </c>
      <c r="O236" s="25" t="s">
        <v>791</v>
      </c>
      <c r="P236" s="112">
        <v>44626</v>
      </c>
      <c r="Q236" s="2" t="s">
        <v>904</v>
      </c>
      <c r="R236" s="112">
        <v>44598</v>
      </c>
      <c r="S236" s="2" t="s">
        <v>905</v>
      </c>
      <c r="T236" s="2" t="s">
        <v>906</v>
      </c>
    </row>
    <row r="237" spans="1:30" x14ac:dyDescent="0.3">
      <c r="A237" s="2" t="s">
        <v>49</v>
      </c>
      <c r="B237" s="25" t="s">
        <v>642</v>
      </c>
      <c r="C237" s="2" t="s">
        <v>907</v>
      </c>
      <c r="D237" s="2">
        <v>1605</v>
      </c>
      <c r="E237" s="4" t="s">
        <v>645</v>
      </c>
      <c r="F237" s="25" t="s">
        <v>127</v>
      </c>
      <c r="G237" s="25">
        <v>30</v>
      </c>
      <c r="M237" s="5">
        <v>1</v>
      </c>
      <c r="O237" s="2" t="s">
        <v>866</v>
      </c>
      <c r="Q237" s="2" t="s">
        <v>121</v>
      </c>
      <c r="S237" s="2" t="s">
        <v>908</v>
      </c>
    </row>
    <row r="238" spans="1:30" x14ac:dyDescent="0.3">
      <c r="A238" s="2" t="s">
        <v>67</v>
      </c>
      <c r="B238" s="25" t="s">
        <v>39</v>
      </c>
      <c r="C238" s="20" t="s">
        <v>909</v>
      </c>
      <c r="D238" s="164" t="s">
        <v>910</v>
      </c>
      <c r="E238" s="4" t="s">
        <v>41</v>
      </c>
      <c r="F238" s="7" t="s">
        <v>42</v>
      </c>
      <c r="G238" s="56">
        <v>442.71499999999997</v>
      </c>
      <c r="H238" s="199">
        <v>17</v>
      </c>
      <c r="I238" s="199">
        <v>40</v>
      </c>
      <c r="L238" s="112">
        <v>44656</v>
      </c>
      <c r="M238" s="2">
        <v>17</v>
      </c>
      <c r="N238" s="2">
        <v>40</v>
      </c>
      <c r="O238" s="2" t="s">
        <v>866</v>
      </c>
      <c r="P238" s="112">
        <v>44779</v>
      </c>
      <c r="Q238" s="2" t="s">
        <v>634</v>
      </c>
      <c r="R238" s="2" t="s">
        <v>831</v>
      </c>
      <c r="S238" s="2" t="s">
        <v>911</v>
      </c>
    </row>
    <row r="239" spans="1:30" x14ac:dyDescent="0.3">
      <c r="A239" s="2" t="s">
        <v>55</v>
      </c>
      <c r="B239" s="25" t="s">
        <v>652</v>
      </c>
      <c r="C239" s="2" t="s">
        <v>912</v>
      </c>
      <c r="D239" s="27" t="s">
        <v>913</v>
      </c>
      <c r="E239" s="4" t="s">
        <v>503</v>
      </c>
      <c r="F239" s="20" t="s">
        <v>87</v>
      </c>
      <c r="G239" s="20">
        <v>120.15</v>
      </c>
      <c r="H239" s="34">
        <v>5</v>
      </c>
      <c r="I239" s="34">
        <v>20</v>
      </c>
      <c r="L239" s="34">
        <v>5</v>
      </c>
      <c r="M239" s="34">
        <v>20</v>
      </c>
      <c r="N239" s="84">
        <v>44625</v>
      </c>
      <c r="O239" s="94" t="s">
        <v>876</v>
      </c>
      <c r="P239" s="97">
        <v>44871</v>
      </c>
      <c r="Q239" s="25" t="s">
        <v>914</v>
      </c>
      <c r="R239" s="84" t="s">
        <v>696</v>
      </c>
      <c r="S239" s="112" t="s">
        <v>915</v>
      </c>
    </row>
    <row r="240" spans="1:30" x14ac:dyDescent="0.3">
      <c r="A240" s="2" t="s">
        <v>529</v>
      </c>
      <c r="B240" s="20" t="s">
        <v>240</v>
      </c>
      <c r="C240" s="6" t="s">
        <v>550</v>
      </c>
      <c r="D240" s="20"/>
      <c r="E240" s="6"/>
      <c r="F240" s="20" t="s">
        <v>106</v>
      </c>
      <c r="G240" s="8">
        <v>32</v>
      </c>
      <c r="H240" s="48"/>
      <c r="I240" s="48"/>
      <c r="N240" s="5"/>
      <c r="O240" s="20"/>
      <c r="P240" s="25">
        <v>14</v>
      </c>
      <c r="Q240" s="25" t="s">
        <v>212</v>
      </c>
      <c r="S240" s="2" t="s">
        <v>916</v>
      </c>
    </row>
    <row r="241" spans="1:30" x14ac:dyDescent="0.3">
      <c r="A241" s="2" t="s">
        <v>529</v>
      </c>
      <c r="B241" s="25" t="s">
        <v>39</v>
      </c>
      <c r="C241" s="4" t="s">
        <v>917</v>
      </c>
      <c r="D241" s="26" t="s">
        <v>918</v>
      </c>
      <c r="E241" s="4" t="s">
        <v>41</v>
      </c>
      <c r="F241" s="7" t="s">
        <v>42</v>
      </c>
      <c r="G241" s="57">
        <v>467.55500000000001</v>
      </c>
      <c r="H241" s="199">
        <v>18</v>
      </c>
      <c r="I241" s="199">
        <v>40</v>
      </c>
      <c r="L241" s="2">
        <v>18</v>
      </c>
      <c r="M241" s="2">
        <v>40</v>
      </c>
      <c r="N241" s="112">
        <v>44656</v>
      </c>
      <c r="O241" s="61" t="s">
        <v>919</v>
      </c>
      <c r="P241" s="97">
        <v>44779</v>
      </c>
      <c r="Q241" s="25" t="s">
        <v>920</v>
      </c>
      <c r="R241" s="157" t="s">
        <v>921</v>
      </c>
      <c r="S241" s="2" t="s">
        <v>922</v>
      </c>
    </row>
    <row r="242" spans="1:30" x14ac:dyDescent="0.3">
      <c r="A242" s="2" t="s">
        <v>55</v>
      </c>
      <c r="B242" s="25" t="s">
        <v>700</v>
      </c>
      <c r="C242" s="15" t="s">
        <v>923</v>
      </c>
      <c r="D242" s="19">
        <v>216634965</v>
      </c>
      <c r="E242" s="94" t="s">
        <v>41</v>
      </c>
      <c r="F242" s="25" t="s">
        <v>87</v>
      </c>
      <c r="G242" s="20">
        <v>1420.856</v>
      </c>
      <c r="H242" s="5">
        <v>62</v>
      </c>
      <c r="I242" s="5">
        <v>20</v>
      </c>
      <c r="L242" s="5">
        <v>62</v>
      </c>
      <c r="M242" s="34">
        <v>20</v>
      </c>
      <c r="N242" s="95">
        <v>44656</v>
      </c>
      <c r="O242" s="2" t="s">
        <v>924</v>
      </c>
      <c r="P242" s="112">
        <v>44840</v>
      </c>
      <c r="Q242" s="2" t="s">
        <v>925</v>
      </c>
      <c r="R242" s="2" t="s">
        <v>697</v>
      </c>
      <c r="S242" s="2" t="s">
        <v>926</v>
      </c>
      <c r="AD242" s="2" t="s">
        <v>927</v>
      </c>
    </row>
    <row r="243" spans="1:30" x14ac:dyDescent="0.3">
      <c r="A243" s="2" t="s">
        <v>55</v>
      </c>
      <c r="B243" s="25" t="s">
        <v>652</v>
      </c>
      <c r="C243" s="25" t="s">
        <v>928</v>
      </c>
      <c r="D243" s="15" t="s">
        <v>929</v>
      </c>
      <c r="E243" s="94" t="s">
        <v>41</v>
      </c>
      <c r="F243" s="20" t="s">
        <v>87</v>
      </c>
      <c r="G243" s="20">
        <v>721.88</v>
      </c>
      <c r="H243" s="34">
        <v>30</v>
      </c>
      <c r="I243" s="34">
        <v>20</v>
      </c>
      <c r="L243" s="5">
        <v>30</v>
      </c>
      <c r="M243" s="34">
        <v>20</v>
      </c>
      <c r="N243" s="95">
        <v>44900</v>
      </c>
      <c r="O243" s="19" t="s">
        <v>924</v>
      </c>
      <c r="P243" s="112">
        <v>44840</v>
      </c>
      <c r="Q243" s="2" t="s">
        <v>930</v>
      </c>
      <c r="R243" s="2" t="s">
        <v>931</v>
      </c>
      <c r="S243" s="2" t="s">
        <v>932</v>
      </c>
      <c r="V243" s="2" t="s">
        <v>933</v>
      </c>
    </row>
    <row r="244" spans="1:30" x14ac:dyDescent="0.3">
      <c r="A244" s="2" t="s">
        <v>55</v>
      </c>
      <c r="B244" s="25" t="s">
        <v>934</v>
      </c>
      <c r="C244" s="25" t="s">
        <v>935</v>
      </c>
      <c r="D244" s="20" t="s">
        <v>936</v>
      </c>
      <c r="E244" s="94" t="s">
        <v>584</v>
      </c>
      <c r="F244" s="16" t="s">
        <v>205</v>
      </c>
      <c r="G244" s="23">
        <v>24</v>
      </c>
      <c r="H244" s="5">
        <v>1</v>
      </c>
      <c r="I244" s="5">
        <v>20</v>
      </c>
      <c r="L244" s="5">
        <v>1</v>
      </c>
      <c r="M244" s="5">
        <v>20</v>
      </c>
      <c r="N244" s="112" t="s">
        <v>937</v>
      </c>
      <c r="O244" s="2" t="s">
        <v>938</v>
      </c>
      <c r="P244" s="156">
        <v>44871</v>
      </c>
      <c r="Q244" s="25" t="s">
        <v>121</v>
      </c>
      <c r="R244" s="112" t="s">
        <v>939</v>
      </c>
      <c r="S244" s="2" t="s">
        <v>940</v>
      </c>
      <c r="V244" s="1" t="s">
        <v>941</v>
      </c>
      <c r="W244" s="2" t="s">
        <v>942</v>
      </c>
    </row>
    <row r="245" spans="1:30" x14ac:dyDescent="0.3">
      <c r="A245" s="2" t="s">
        <v>67</v>
      </c>
      <c r="B245" s="25" t="s">
        <v>39</v>
      </c>
      <c r="C245" s="20" t="s">
        <v>909</v>
      </c>
      <c r="D245" s="211" t="s">
        <v>943</v>
      </c>
      <c r="E245" s="4" t="s">
        <v>41</v>
      </c>
      <c r="F245" s="7" t="s">
        <v>42</v>
      </c>
      <c r="G245" s="72">
        <v>52.182000000000002</v>
      </c>
      <c r="H245" s="199">
        <v>2</v>
      </c>
      <c r="I245" s="199">
        <v>40</v>
      </c>
      <c r="L245" s="112">
        <v>44567</v>
      </c>
      <c r="M245" s="2">
        <v>2</v>
      </c>
      <c r="N245" s="2">
        <v>40</v>
      </c>
      <c r="O245" s="112">
        <v>44779</v>
      </c>
      <c r="P245" s="2" t="s">
        <v>944</v>
      </c>
      <c r="Q245" s="2" t="s">
        <v>121</v>
      </c>
      <c r="R245" s="95">
        <v>44779</v>
      </c>
      <c r="S245" s="2" t="s">
        <v>945</v>
      </c>
      <c r="T245" s="212"/>
    </row>
    <row r="246" spans="1:30" ht="15.6" x14ac:dyDescent="0.3">
      <c r="A246" s="2" t="s">
        <v>49</v>
      </c>
      <c r="B246" s="25" t="s">
        <v>946</v>
      </c>
      <c r="C246" s="88" t="s">
        <v>947</v>
      </c>
      <c r="D246" s="213">
        <v>216978831</v>
      </c>
      <c r="E246" s="214" t="s">
        <v>41</v>
      </c>
      <c r="F246" s="25" t="s">
        <v>24</v>
      </c>
      <c r="G246" s="25">
        <v>17.5</v>
      </c>
      <c r="H246" s="215">
        <v>6</v>
      </c>
      <c r="I246" s="215">
        <v>20</v>
      </c>
      <c r="L246" s="25"/>
      <c r="M246" s="5">
        <v>1</v>
      </c>
      <c r="N246" s="5">
        <v>20</v>
      </c>
      <c r="O246" s="95">
        <v>44840</v>
      </c>
      <c r="P246" s="112" t="s">
        <v>948</v>
      </c>
      <c r="Q246" s="2" t="s">
        <v>949</v>
      </c>
      <c r="S246" s="2" t="s">
        <v>950</v>
      </c>
      <c r="U246" s="2" t="s">
        <v>951</v>
      </c>
    </row>
    <row r="247" spans="1:30" x14ac:dyDescent="0.3">
      <c r="A247" s="2" t="s">
        <v>55</v>
      </c>
      <c r="B247" s="25" t="s">
        <v>130</v>
      </c>
      <c r="C247" s="15" t="s">
        <v>316</v>
      </c>
      <c r="D247" s="15" t="s">
        <v>317</v>
      </c>
      <c r="E247" s="201" t="s">
        <v>41</v>
      </c>
      <c r="F247" s="25" t="s">
        <v>87</v>
      </c>
      <c r="G247" s="20">
        <v>104</v>
      </c>
      <c r="H247" s="5">
        <v>4</v>
      </c>
      <c r="I247" s="5">
        <v>20</v>
      </c>
      <c r="L247" s="34">
        <v>4</v>
      </c>
      <c r="M247" s="34">
        <v>20</v>
      </c>
      <c r="N247" s="93" t="s">
        <v>952</v>
      </c>
      <c r="O247" s="94">
        <v>44840</v>
      </c>
      <c r="P247" s="9" t="s">
        <v>948</v>
      </c>
      <c r="Q247" s="20" t="s">
        <v>953</v>
      </c>
      <c r="R247" s="84" t="s">
        <v>954</v>
      </c>
      <c r="S247" s="20" t="s">
        <v>955</v>
      </c>
      <c r="T247" s="153"/>
    </row>
    <row r="248" spans="1:30" x14ac:dyDescent="0.3">
      <c r="A248" s="2" t="s">
        <v>55</v>
      </c>
      <c r="B248" s="25" t="s">
        <v>157</v>
      </c>
      <c r="C248" s="25" t="s">
        <v>956</v>
      </c>
      <c r="D248" s="15" t="s">
        <v>957</v>
      </c>
      <c r="E248" s="4" t="s">
        <v>41</v>
      </c>
      <c r="F248" s="20" t="s">
        <v>87</v>
      </c>
      <c r="G248" s="20">
        <v>699.81200000000001</v>
      </c>
      <c r="H248" s="5">
        <v>31</v>
      </c>
      <c r="I248" s="5">
        <v>20</v>
      </c>
      <c r="L248" s="5">
        <v>31</v>
      </c>
      <c r="M248" s="34">
        <v>20</v>
      </c>
      <c r="N248" s="95">
        <v>44656</v>
      </c>
      <c r="O248" s="2" t="s">
        <v>817</v>
      </c>
      <c r="P248" s="156">
        <v>44901</v>
      </c>
      <c r="Q248" s="2" t="s">
        <v>958</v>
      </c>
      <c r="R248" s="2" t="s">
        <v>703</v>
      </c>
      <c r="S248" s="2" t="s">
        <v>959</v>
      </c>
      <c r="U248" s="2" t="s">
        <v>960</v>
      </c>
    </row>
    <row r="249" spans="1:30" x14ac:dyDescent="0.3">
      <c r="A249" s="2" t="s">
        <v>55</v>
      </c>
      <c r="B249" s="25" t="s">
        <v>652</v>
      </c>
      <c r="C249" s="2" t="s">
        <v>961</v>
      </c>
      <c r="D249" s="27" t="s">
        <v>962</v>
      </c>
      <c r="E249" s="195" t="s">
        <v>112</v>
      </c>
      <c r="F249" s="20" t="s">
        <v>87</v>
      </c>
      <c r="G249" s="20">
        <v>573.49599999999998</v>
      </c>
      <c r="H249" s="210">
        <v>22</v>
      </c>
      <c r="I249" s="210">
        <v>40</v>
      </c>
      <c r="L249" s="34">
        <v>22</v>
      </c>
      <c r="M249" s="34">
        <v>40</v>
      </c>
      <c r="N249" s="87" t="s">
        <v>628</v>
      </c>
      <c r="O249" s="94" t="s">
        <v>963</v>
      </c>
      <c r="P249" s="168" t="s">
        <v>964</v>
      </c>
      <c r="Q249" s="20" t="s">
        <v>965</v>
      </c>
      <c r="R249" s="84" t="s">
        <v>561</v>
      </c>
      <c r="S249" s="2" t="s">
        <v>966</v>
      </c>
      <c r="Y249" s="112">
        <v>44687</v>
      </c>
      <c r="Z249" s="2" t="s">
        <v>967</v>
      </c>
      <c r="AA249" s="2" t="s">
        <v>968</v>
      </c>
    </row>
    <row r="250" spans="1:30" x14ac:dyDescent="0.3">
      <c r="A250" s="2" t="s">
        <v>55</v>
      </c>
      <c r="B250" s="25" t="s">
        <v>157</v>
      </c>
      <c r="C250" s="25" t="s">
        <v>969</v>
      </c>
      <c r="D250" s="25" t="s">
        <v>970</v>
      </c>
      <c r="E250" s="4" t="s">
        <v>503</v>
      </c>
      <c r="F250" s="20" t="s">
        <v>87</v>
      </c>
      <c r="G250" s="20">
        <v>311.32400000000001</v>
      </c>
      <c r="H250" s="5">
        <v>12</v>
      </c>
      <c r="I250" s="5">
        <v>40</v>
      </c>
      <c r="L250" s="5">
        <v>12</v>
      </c>
      <c r="M250" s="34">
        <v>40</v>
      </c>
      <c r="N250" s="2" t="s">
        <v>971</v>
      </c>
      <c r="O250" s="94">
        <v>44687</v>
      </c>
      <c r="P250" s="156" t="s">
        <v>972</v>
      </c>
      <c r="Q250" s="2" t="s">
        <v>973</v>
      </c>
      <c r="R250" s="2" t="s">
        <v>787</v>
      </c>
      <c r="S250" s="2" t="s">
        <v>974</v>
      </c>
    </row>
    <row r="251" spans="1:30" x14ac:dyDescent="0.3">
      <c r="A251" s="2" t="s">
        <v>344</v>
      </c>
      <c r="B251" s="20" t="s">
        <v>109</v>
      </c>
      <c r="C251" s="4" t="s">
        <v>975</v>
      </c>
      <c r="D251" s="4" t="s">
        <v>976</v>
      </c>
      <c r="E251" s="4" t="s">
        <v>41</v>
      </c>
      <c r="F251" s="25" t="s">
        <v>977</v>
      </c>
      <c r="G251" s="20">
        <v>105.58</v>
      </c>
      <c r="H251" s="34">
        <v>5</v>
      </c>
      <c r="I251" s="34">
        <v>20</v>
      </c>
      <c r="L251" s="121">
        <v>5</v>
      </c>
      <c r="M251" s="120">
        <v>20</v>
      </c>
      <c r="N251" s="30"/>
      <c r="O251" s="96">
        <v>44840</v>
      </c>
      <c r="P251" s="25" t="s">
        <v>948</v>
      </c>
      <c r="Q251" s="25" t="s">
        <v>978</v>
      </c>
      <c r="R251" s="2" t="s">
        <v>855</v>
      </c>
      <c r="S251" s="2" t="s">
        <v>979</v>
      </c>
    </row>
    <row r="252" spans="1:30" x14ac:dyDescent="0.3">
      <c r="A252" s="2" t="s">
        <v>49</v>
      </c>
      <c r="B252" s="16" t="s">
        <v>166</v>
      </c>
      <c r="C252" s="2" t="s">
        <v>980</v>
      </c>
      <c r="D252" s="19">
        <v>11571</v>
      </c>
      <c r="E252" s="4" t="s">
        <v>981</v>
      </c>
      <c r="F252" s="2" t="s">
        <v>982</v>
      </c>
      <c r="G252" s="2">
        <v>28</v>
      </c>
      <c r="O252" s="95">
        <v>44901</v>
      </c>
      <c r="Q252" s="2" t="s">
        <v>983</v>
      </c>
      <c r="S252" s="2" t="s">
        <v>984</v>
      </c>
    </row>
    <row r="253" spans="1:30" ht="15.6" x14ac:dyDescent="0.3">
      <c r="A253" s="2" t="s">
        <v>49</v>
      </c>
      <c r="B253" s="25" t="s">
        <v>161</v>
      </c>
      <c r="C253" s="11" t="s">
        <v>985</v>
      </c>
      <c r="D253" s="19">
        <v>609006221</v>
      </c>
      <c r="E253" s="187" t="s">
        <v>41</v>
      </c>
      <c r="F253" s="25" t="s">
        <v>163</v>
      </c>
      <c r="G253" s="25">
        <v>48</v>
      </c>
      <c r="H253" s="5">
        <v>3</v>
      </c>
      <c r="I253" s="5">
        <v>20</v>
      </c>
      <c r="L253" s="25"/>
      <c r="M253" s="5">
        <v>3</v>
      </c>
      <c r="N253" s="5">
        <v>20</v>
      </c>
      <c r="O253" s="95">
        <v>44626</v>
      </c>
      <c r="P253" s="2" t="s">
        <v>986</v>
      </c>
      <c r="Q253" s="2" t="s">
        <v>987</v>
      </c>
      <c r="R253" s="112">
        <v>44567</v>
      </c>
      <c r="S253" s="2" t="s">
        <v>988</v>
      </c>
    </row>
    <row r="254" spans="1:30" x14ac:dyDescent="0.3">
      <c r="A254" s="2" t="s">
        <v>60</v>
      </c>
      <c r="B254" s="25" t="s">
        <v>989</v>
      </c>
      <c r="C254" s="4" t="s">
        <v>990</v>
      </c>
      <c r="D254" s="2" t="s">
        <v>991</v>
      </c>
      <c r="E254" s="4" t="s">
        <v>312</v>
      </c>
      <c r="F254" s="7" t="s">
        <v>152</v>
      </c>
      <c r="G254" s="2">
        <v>20</v>
      </c>
      <c r="H254" s="5">
        <v>1</v>
      </c>
      <c r="I254" s="5">
        <v>20</v>
      </c>
      <c r="L254" s="2">
        <v>1</v>
      </c>
      <c r="M254" s="2">
        <v>20</v>
      </c>
      <c r="O254" s="95">
        <v>44901</v>
      </c>
      <c r="P254" s="2" t="s">
        <v>992</v>
      </c>
      <c r="Q254" s="25" t="s">
        <v>121</v>
      </c>
      <c r="R254" s="95">
        <v>44779</v>
      </c>
      <c r="S254" s="2" t="s">
        <v>993</v>
      </c>
      <c r="T254" s="112"/>
    </row>
    <row r="255" spans="1:30" x14ac:dyDescent="0.3">
      <c r="A255" s="2" t="s">
        <v>60</v>
      </c>
      <c r="B255" s="25" t="s">
        <v>989</v>
      </c>
      <c r="C255" s="4" t="s">
        <v>994</v>
      </c>
      <c r="D255" s="2" t="s">
        <v>995</v>
      </c>
      <c r="E255" s="4" t="s">
        <v>312</v>
      </c>
      <c r="F255" s="7" t="s">
        <v>152</v>
      </c>
      <c r="G255" s="2">
        <v>20</v>
      </c>
      <c r="H255" s="5">
        <v>1</v>
      </c>
      <c r="I255" s="5">
        <v>20</v>
      </c>
      <c r="L255" s="2">
        <v>1</v>
      </c>
      <c r="M255" s="2">
        <v>20</v>
      </c>
      <c r="O255" s="95">
        <v>44901</v>
      </c>
      <c r="P255" s="2" t="s">
        <v>992</v>
      </c>
      <c r="Q255" s="25" t="s">
        <v>121</v>
      </c>
      <c r="R255" s="95">
        <v>44779</v>
      </c>
      <c r="S255" s="2" t="s">
        <v>993</v>
      </c>
      <c r="T255" s="112"/>
    </row>
    <row r="256" spans="1:30" x14ac:dyDescent="0.3">
      <c r="A256" s="2" t="s">
        <v>55</v>
      </c>
      <c r="B256" s="25" t="s">
        <v>996</v>
      </c>
      <c r="C256" s="25" t="s">
        <v>997</v>
      </c>
      <c r="D256" s="25" t="s">
        <v>998</v>
      </c>
      <c r="E256" s="94" t="s">
        <v>503</v>
      </c>
      <c r="F256" s="20" t="s">
        <v>87</v>
      </c>
      <c r="G256" s="52">
        <v>498.54</v>
      </c>
      <c r="H256" s="34">
        <v>20</v>
      </c>
      <c r="I256" s="34">
        <v>20</v>
      </c>
      <c r="L256" s="5">
        <v>20</v>
      </c>
      <c r="M256" s="34">
        <v>20</v>
      </c>
      <c r="N256" s="5"/>
      <c r="O256" s="95" t="s">
        <v>999</v>
      </c>
      <c r="P256" s="44" t="s">
        <v>992</v>
      </c>
      <c r="Q256" s="25" t="s">
        <v>629</v>
      </c>
      <c r="R256" s="2" t="s">
        <v>831</v>
      </c>
      <c r="S256" s="2" t="s">
        <v>1000</v>
      </c>
      <c r="T256" s="112"/>
    </row>
    <row r="257" spans="1:24" x14ac:dyDescent="0.3">
      <c r="A257" s="2" t="s">
        <v>55</v>
      </c>
      <c r="B257" s="25" t="s">
        <v>996</v>
      </c>
      <c r="C257" s="25" t="s">
        <v>1001</v>
      </c>
      <c r="D257" s="25" t="s">
        <v>1002</v>
      </c>
      <c r="E257" s="94" t="s">
        <v>503</v>
      </c>
      <c r="F257" s="20" t="s">
        <v>87</v>
      </c>
      <c r="G257" s="20">
        <v>499.04300000000001</v>
      </c>
      <c r="H257" s="34">
        <v>20</v>
      </c>
      <c r="I257" s="34">
        <v>20</v>
      </c>
      <c r="L257" s="5">
        <v>20</v>
      </c>
      <c r="M257" s="34">
        <v>20</v>
      </c>
      <c r="N257" s="5"/>
      <c r="O257" s="95" t="s">
        <v>1003</v>
      </c>
      <c r="P257" s="44" t="s">
        <v>1004</v>
      </c>
      <c r="Q257" s="25" t="s">
        <v>1005</v>
      </c>
      <c r="R257" s="2" t="s">
        <v>703</v>
      </c>
      <c r="S257" s="2" t="s">
        <v>1006</v>
      </c>
      <c r="T257" s="112"/>
    </row>
    <row r="258" spans="1:24" x14ac:dyDescent="0.3">
      <c r="A258" s="2" t="s">
        <v>55</v>
      </c>
      <c r="B258" s="25" t="s">
        <v>157</v>
      </c>
      <c r="C258" s="25" t="s">
        <v>1007</v>
      </c>
      <c r="D258" s="25" t="s">
        <v>1008</v>
      </c>
      <c r="E258" s="4" t="s">
        <v>503</v>
      </c>
      <c r="F258" s="20" t="s">
        <v>87</v>
      </c>
      <c r="G258" s="20">
        <v>217.10900000000001</v>
      </c>
      <c r="H258" s="5">
        <v>10</v>
      </c>
      <c r="I258" s="5">
        <v>20</v>
      </c>
      <c r="L258" s="5">
        <v>10</v>
      </c>
      <c r="M258" s="5">
        <v>20</v>
      </c>
      <c r="N258" s="2" t="s">
        <v>1009</v>
      </c>
      <c r="O258" s="25" t="s">
        <v>1010</v>
      </c>
      <c r="P258" s="156">
        <v>44627</v>
      </c>
      <c r="Q258" s="2" t="s">
        <v>1011</v>
      </c>
      <c r="R258" s="2" t="s">
        <v>787</v>
      </c>
      <c r="S258" s="2" t="s">
        <v>1012</v>
      </c>
      <c r="T258" s="112"/>
    </row>
    <row r="259" spans="1:24" x14ac:dyDescent="0.3">
      <c r="A259" s="2" t="s">
        <v>55</v>
      </c>
      <c r="B259" s="25" t="s">
        <v>157</v>
      </c>
      <c r="C259" s="25" t="s">
        <v>1013</v>
      </c>
      <c r="D259" s="25" t="s">
        <v>1014</v>
      </c>
      <c r="E259" s="4" t="s">
        <v>503</v>
      </c>
      <c r="F259" s="20" t="s">
        <v>87</v>
      </c>
      <c r="G259" s="20">
        <v>755.30600000000004</v>
      </c>
      <c r="H259" s="5">
        <v>29</v>
      </c>
      <c r="I259" s="5">
        <v>40</v>
      </c>
      <c r="L259" s="5">
        <v>29</v>
      </c>
      <c r="M259" s="5">
        <v>40</v>
      </c>
      <c r="N259" s="2" t="s">
        <v>787</v>
      </c>
      <c r="O259" s="25" t="s">
        <v>1015</v>
      </c>
      <c r="P259" s="44" t="s">
        <v>948</v>
      </c>
      <c r="Q259" s="2" t="s">
        <v>1016</v>
      </c>
      <c r="R259" s="2" t="s">
        <v>787</v>
      </c>
      <c r="S259" s="2" t="s">
        <v>1017</v>
      </c>
    </row>
    <row r="260" spans="1:24" x14ac:dyDescent="0.3">
      <c r="A260" s="2" t="s">
        <v>55</v>
      </c>
      <c r="B260" s="20" t="s">
        <v>1018</v>
      </c>
      <c r="C260" s="25" t="s">
        <v>1019</v>
      </c>
      <c r="D260" s="25" t="s">
        <v>1020</v>
      </c>
      <c r="E260" s="94" t="s">
        <v>503</v>
      </c>
      <c r="F260" s="25" t="s">
        <v>87</v>
      </c>
      <c r="G260" s="52">
        <v>241.11</v>
      </c>
      <c r="H260" s="34">
        <v>10</v>
      </c>
      <c r="I260" s="34">
        <v>20</v>
      </c>
      <c r="L260" s="5">
        <v>10</v>
      </c>
      <c r="M260" s="34">
        <v>20</v>
      </c>
      <c r="N260" s="19" t="s">
        <v>692</v>
      </c>
      <c r="O260" s="95" t="s">
        <v>999</v>
      </c>
      <c r="P260" s="44" t="s">
        <v>1004</v>
      </c>
      <c r="Q260" s="25" t="s">
        <v>1021</v>
      </c>
      <c r="R260" s="2" t="s">
        <v>586</v>
      </c>
      <c r="S260" s="2" t="s">
        <v>1022</v>
      </c>
      <c r="T260" s="112"/>
    </row>
    <row r="261" spans="1:24" ht="72" x14ac:dyDescent="0.3">
      <c r="A261" s="2" t="s">
        <v>55</v>
      </c>
      <c r="B261" s="25" t="s">
        <v>157</v>
      </c>
      <c r="C261" s="25" t="s">
        <v>1023</v>
      </c>
      <c r="D261" s="25" t="s">
        <v>1024</v>
      </c>
      <c r="E261" s="94" t="s">
        <v>503</v>
      </c>
      <c r="F261" s="20" t="s">
        <v>87</v>
      </c>
      <c r="G261" s="20">
        <f>144.44</f>
        <v>144.44</v>
      </c>
      <c r="H261" s="216">
        <v>6</v>
      </c>
      <c r="I261" s="216">
        <v>20</v>
      </c>
      <c r="L261" s="5">
        <v>6</v>
      </c>
      <c r="M261" s="5">
        <v>20</v>
      </c>
      <c r="N261" s="2" t="s">
        <v>817</v>
      </c>
      <c r="O261" s="25" t="s">
        <v>1025</v>
      </c>
      <c r="P261" s="44" t="s">
        <v>1026</v>
      </c>
      <c r="Q261" s="2" t="s">
        <v>1027</v>
      </c>
      <c r="R261" s="24" t="s">
        <v>1028</v>
      </c>
      <c r="S261" s="2" t="s">
        <v>1029</v>
      </c>
    </row>
    <row r="262" spans="1:24" x14ac:dyDescent="0.3">
      <c r="A262" s="2" t="s">
        <v>55</v>
      </c>
      <c r="B262" s="25" t="s">
        <v>478</v>
      </c>
      <c r="C262" s="25" t="s">
        <v>479</v>
      </c>
      <c r="D262" s="25" t="s">
        <v>1030</v>
      </c>
      <c r="E262" s="195" t="s">
        <v>503</v>
      </c>
      <c r="F262" s="16" t="s">
        <v>205</v>
      </c>
      <c r="G262" s="65">
        <v>102.96</v>
      </c>
      <c r="H262" s="204">
        <v>4</v>
      </c>
      <c r="I262" s="204">
        <v>40</v>
      </c>
      <c r="L262" s="34">
        <v>4</v>
      </c>
      <c r="M262" s="34">
        <v>40</v>
      </c>
      <c r="N262" s="84"/>
      <c r="O262" s="94">
        <v>44901</v>
      </c>
      <c r="P262" s="9" t="s">
        <v>1031</v>
      </c>
      <c r="Q262" s="25" t="s">
        <v>1032</v>
      </c>
      <c r="R262" s="84" t="s">
        <v>484</v>
      </c>
      <c r="S262" s="2" t="s">
        <v>1033</v>
      </c>
    </row>
    <row r="263" spans="1:24" x14ac:dyDescent="0.3">
      <c r="A263" s="2" t="s">
        <v>55</v>
      </c>
      <c r="B263" s="25" t="s">
        <v>157</v>
      </c>
      <c r="C263" s="25" t="s">
        <v>1034</v>
      </c>
      <c r="D263" s="25" t="s">
        <v>1035</v>
      </c>
      <c r="E263" s="4" t="s">
        <v>503</v>
      </c>
      <c r="F263" s="20" t="s">
        <v>87</v>
      </c>
      <c r="G263" s="20">
        <f>485.904</f>
        <v>485.904</v>
      </c>
      <c r="H263" s="5">
        <v>24</v>
      </c>
      <c r="I263" s="5">
        <v>20</v>
      </c>
      <c r="L263" s="34">
        <v>24</v>
      </c>
      <c r="M263" s="34">
        <v>20</v>
      </c>
      <c r="N263" s="94">
        <v>44567</v>
      </c>
      <c r="O263" s="25" t="s">
        <v>1025</v>
      </c>
      <c r="P263" s="9" t="s">
        <v>1031</v>
      </c>
      <c r="Q263" s="25" t="s">
        <v>1036</v>
      </c>
      <c r="R263" s="217">
        <v>44718</v>
      </c>
      <c r="S263" s="25" t="s">
        <v>1037</v>
      </c>
      <c r="T263" s="112"/>
    </row>
    <row r="264" spans="1:24" x14ac:dyDescent="0.3">
      <c r="A264" s="2" t="s">
        <v>55</v>
      </c>
      <c r="B264" s="25" t="s">
        <v>652</v>
      </c>
      <c r="C264" s="25" t="s">
        <v>1038</v>
      </c>
      <c r="D264" s="25" t="s">
        <v>1039</v>
      </c>
      <c r="E264" s="94" t="s">
        <v>503</v>
      </c>
      <c r="F264" s="20" t="s">
        <v>87</v>
      </c>
      <c r="G264" s="20">
        <v>625.79</v>
      </c>
      <c r="H264" s="34">
        <v>26</v>
      </c>
      <c r="I264" s="34">
        <v>20</v>
      </c>
      <c r="L264" s="5">
        <v>26</v>
      </c>
      <c r="M264" s="34">
        <v>20</v>
      </c>
      <c r="O264" s="19" t="s">
        <v>1025</v>
      </c>
      <c r="P264" s="44" t="s">
        <v>1004</v>
      </c>
      <c r="Q264" s="2" t="s">
        <v>1040</v>
      </c>
      <c r="R264" s="2" t="s">
        <v>817</v>
      </c>
      <c r="S264" s="2" t="s">
        <v>1041</v>
      </c>
      <c r="T264" s="112"/>
      <c r="X264" s="2" t="s">
        <v>1042</v>
      </c>
    </row>
    <row r="265" spans="1:24" ht="15.6" x14ac:dyDescent="0.3">
      <c r="A265" s="2" t="s">
        <v>49</v>
      </c>
      <c r="B265" s="25" t="s">
        <v>161</v>
      </c>
      <c r="C265" s="11" t="s">
        <v>1043</v>
      </c>
      <c r="D265" s="19">
        <v>609009624</v>
      </c>
      <c r="E265" s="187" t="s">
        <v>41</v>
      </c>
      <c r="F265" s="25" t="s">
        <v>163</v>
      </c>
      <c r="G265" s="25">
        <v>48</v>
      </c>
      <c r="H265" s="5">
        <v>3</v>
      </c>
      <c r="I265" s="5">
        <v>20</v>
      </c>
      <c r="L265" s="25"/>
      <c r="M265" s="5">
        <v>3</v>
      </c>
      <c r="N265" s="5">
        <v>20</v>
      </c>
      <c r="O265" s="95">
        <v>44901</v>
      </c>
      <c r="P265" s="2" t="s">
        <v>992</v>
      </c>
      <c r="Q265" s="2" t="s">
        <v>1044</v>
      </c>
      <c r="R265" s="112">
        <v>44810</v>
      </c>
      <c r="S265" s="2" t="s">
        <v>1045</v>
      </c>
    </row>
    <row r="266" spans="1:24" x14ac:dyDescent="0.3">
      <c r="A266" s="2" t="s">
        <v>55</v>
      </c>
      <c r="B266" s="25" t="s">
        <v>157</v>
      </c>
      <c r="C266" s="25" t="s">
        <v>1046</v>
      </c>
      <c r="D266" s="25" t="s">
        <v>1047</v>
      </c>
      <c r="E266" s="4" t="s">
        <v>503</v>
      </c>
      <c r="F266" s="20" t="s">
        <v>87</v>
      </c>
      <c r="G266" s="20">
        <v>481.66</v>
      </c>
      <c r="H266" s="34">
        <v>20</v>
      </c>
      <c r="I266" s="34">
        <v>20</v>
      </c>
      <c r="L266" s="5">
        <v>20</v>
      </c>
      <c r="M266" s="34">
        <v>20</v>
      </c>
      <c r="N266" s="5"/>
      <c r="O266" s="95" t="s">
        <v>1025</v>
      </c>
      <c r="P266" s="44" t="s">
        <v>1026</v>
      </c>
      <c r="Q266" s="2" t="s">
        <v>1048</v>
      </c>
      <c r="R266" s="2" t="s">
        <v>703</v>
      </c>
      <c r="S266" s="2" t="s">
        <v>1049</v>
      </c>
    </row>
    <row r="267" spans="1:24" x14ac:dyDescent="0.3">
      <c r="A267" s="2" t="s">
        <v>55</v>
      </c>
      <c r="B267" s="20" t="s">
        <v>857</v>
      </c>
      <c r="C267" s="25" t="s">
        <v>1050</v>
      </c>
      <c r="D267" s="25" t="s">
        <v>1051</v>
      </c>
      <c r="E267" s="4" t="s">
        <v>503</v>
      </c>
      <c r="F267" s="27" t="s">
        <v>860</v>
      </c>
      <c r="G267" s="20">
        <v>408.14</v>
      </c>
      <c r="H267" s="34">
        <v>19</v>
      </c>
      <c r="I267" s="34">
        <v>20</v>
      </c>
      <c r="L267" s="5">
        <v>19</v>
      </c>
      <c r="M267" s="34">
        <v>20</v>
      </c>
      <c r="N267" s="169"/>
      <c r="O267" s="95">
        <v>44901</v>
      </c>
      <c r="P267" s="44" t="s">
        <v>1004</v>
      </c>
      <c r="Q267" s="2" t="s">
        <v>1052</v>
      </c>
      <c r="R267" s="95">
        <v>44809</v>
      </c>
      <c r="S267" s="2" t="s">
        <v>1053</v>
      </c>
      <c r="T267" s="112"/>
    </row>
    <row r="268" spans="1:24" x14ac:dyDescent="0.3">
      <c r="A268" s="2" t="s">
        <v>55</v>
      </c>
      <c r="B268" s="25" t="s">
        <v>39</v>
      </c>
      <c r="C268" s="25" t="s">
        <v>1054</v>
      </c>
      <c r="D268" s="67">
        <v>217883158</v>
      </c>
      <c r="E268" s="4" t="s">
        <v>41</v>
      </c>
      <c r="F268" s="7" t="s">
        <v>42</v>
      </c>
      <c r="G268" s="56">
        <v>52.116999999999997</v>
      </c>
      <c r="H268" s="5">
        <v>2</v>
      </c>
      <c r="I268" s="5">
        <v>40</v>
      </c>
      <c r="L268" s="5">
        <v>2</v>
      </c>
      <c r="M268" s="5">
        <v>40</v>
      </c>
      <c r="N268" s="2" t="s">
        <v>855</v>
      </c>
      <c r="O268" s="94" t="s">
        <v>1055</v>
      </c>
      <c r="P268" s="44" t="s">
        <v>1056</v>
      </c>
      <c r="Q268" s="25" t="s">
        <v>1057</v>
      </c>
      <c r="R268" s="2" t="s">
        <v>1058</v>
      </c>
      <c r="S268" s="2" t="s">
        <v>1059</v>
      </c>
      <c r="T268" s="112"/>
    </row>
    <row r="269" spans="1:24" x14ac:dyDescent="0.3">
      <c r="A269" s="2" t="s">
        <v>55</v>
      </c>
      <c r="B269" s="25" t="s">
        <v>996</v>
      </c>
      <c r="C269" s="25" t="s">
        <v>1060</v>
      </c>
      <c r="D269" s="25" t="s">
        <v>1061</v>
      </c>
      <c r="E269" s="4" t="s">
        <v>503</v>
      </c>
      <c r="F269" s="20" t="s">
        <v>87</v>
      </c>
      <c r="G269" s="20">
        <v>492.28399999999999</v>
      </c>
      <c r="H269" s="5">
        <v>20</v>
      </c>
      <c r="I269" s="5">
        <v>20</v>
      </c>
      <c r="L269" s="5">
        <v>20</v>
      </c>
      <c r="M269" s="34">
        <v>20</v>
      </c>
      <c r="N269" s="19" t="s">
        <v>791</v>
      </c>
      <c r="O269" s="2" t="s">
        <v>1025</v>
      </c>
      <c r="P269" s="44" t="s">
        <v>1026</v>
      </c>
      <c r="Q269" s="2" t="s">
        <v>1062</v>
      </c>
      <c r="R269" s="95">
        <v>44778</v>
      </c>
      <c r="S269" s="2" t="s">
        <v>1063</v>
      </c>
      <c r="T269" s="112"/>
    </row>
    <row r="270" spans="1:24" ht="187.2" x14ac:dyDescent="0.3">
      <c r="A270" s="2" t="s">
        <v>55</v>
      </c>
      <c r="B270" s="25" t="s">
        <v>541</v>
      </c>
      <c r="C270" s="15" t="s">
        <v>615</v>
      </c>
      <c r="D270" s="15" t="s">
        <v>616</v>
      </c>
      <c r="E270" s="201" t="s">
        <v>41</v>
      </c>
      <c r="F270" s="20" t="s">
        <v>87</v>
      </c>
      <c r="G270" s="20">
        <v>22</v>
      </c>
      <c r="H270" s="202">
        <v>1</v>
      </c>
      <c r="I270" s="202">
        <v>40</v>
      </c>
      <c r="L270" s="34">
        <v>1</v>
      </c>
      <c r="M270" s="34">
        <v>20</v>
      </c>
      <c r="N270" s="87">
        <v>44686</v>
      </c>
      <c r="O270" s="94" t="s">
        <v>1025</v>
      </c>
      <c r="P270" s="9" t="s">
        <v>1056</v>
      </c>
      <c r="Q270" s="174" t="s">
        <v>1064</v>
      </c>
      <c r="R270" s="84" t="s">
        <v>500</v>
      </c>
      <c r="S270" s="25" t="s">
        <v>1065</v>
      </c>
    </row>
    <row r="271" spans="1:24" x14ac:dyDescent="0.3">
      <c r="A271" s="2" t="s">
        <v>49</v>
      </c>
      <c r="B271" s="16" t="s">
        <v>124</v>
      </c>
      <c r="C271" s="2" t="s">
        <v>1066</v>
      </c>
      <c r="D271" s="19" t="s">
        <v>1067</v>
      </c>
      <c r="E271" s="4" t="s">
        <v>645</v>
      </c>
      <c r="F271" s="67" t="s">
        <v>1068</v>
      </c>
      <c r="G271" s="25">
        <v>30000</v>
      </c>
      <c r="M271" s="5">
        <v>1</v>
      </c>
      <c r="O271" s="2" t="s">
        <v>1069</v>
      </c>
      <c r="P271" s="2" t="s">
        <v>948</v>
      </c>
      <c r="Q271" s="2" t="s">
        <v>121</v>
      </c>
    </row>
    <row r="272" spans="1:24" x14ac:dyDescent="0.3">
      <c r="A272" s="2" t="s">
        <v>55</v>
      </c>
      <c r="B272" s="25" t="s">
        <v>157</v>
      </c>
      <c r="C272" s="25" t="s">
        <v>1070</v>
      </c>
      <c r="D272" s="25" t="s">
        <v>1071</v>
      </c>
      <c r="E272" s="4" t="s">
        <v>112</v>
      </c>
      <c r="F272" s="20" t="s">
        <v>87</v>
      </c>
      <c r="G272" s="20">
        <v>72.28</v>
      </c>
      <c r="H272" s="5">
        <v>3</v>
      </c>
      <c r="I272" s="5">
        <v>20</v>
      </c>
      <c r="L272" s="5">
        <v>3</v>
      </c>
      <c r="M272" s="5">
        <v>20</v>
      </c>
      <c r="N272" s="95">
        <v>44567</v>
      </c>
      <c r="O272" s="25" t="s">
        <v>1072</v>
      </c>
      <c r="P272" s="44" t="s">
        <v>1073</v>
      </c>
      <c r="Q272" s="2" t="s">
        <v>1074</v>
      </c>
      <c r="R272" s="2" t="s">
        <v>1025</v>
      </c>
      <c r="S272" s="2" t="s">
        <v>1075</v>
      </c>
    </row>
    <row r="273" spans="1:19" x14ac:dyDescent="0.3">
      <c r="A273" s="2" t="s">
        <v>55</v>
      </c>
      <c r="B273" s="20" t="s">
        <v>900</v>
      </c>
      <c r="C273" s="25" t="s">
        <v>1076</v>
      </c>
      <c r="D273" s="15" t="s">
        <v>1077</v>
      </c>
      <c r="E273" s="4" t="s">
        <v>41</v>
      </c>
      <c r="F273" s="25" t="s">
        <v>1078</v>
      </c>
      <c r="G273" s="20">
        <v>36</v>
      </c>
      <c r="H273" s="34">
        <v>2</v>
      </c>
      <c r="I273" s="34">
        <v>40</v>
      </c>
      <c r="L273" s="5">
        <v>2</v>
      </c>
      <c r="M273" s="5">
        <v>20</v>
      </c>
      <c r="N273" s="112">
        <v>44901</v>
      </c>
      <c r="O273" s="25" t="s">
        <v>1031</v>
      </c>
      <c r="P273" s="112">
        <v>44688</v>
      </c>
      <c r="Q273" s="2" t="s">
        <v>28</v>
      </c>
      <c r="R273" s="2" t="s">
        <v>948</v>
      </c>
      <c r="S273" s="2" t="s">
        <v>1075</v>
      </c>
    </row>
    <row r="274" spans="1:19" x14ac:dyDescent="0.3">
      <c r="A274" s="2" t="s">
        <v>55</v>
      </c>
      <c r="B274" s="25" t="s">
        <v>157</v>
      </c>
      <c r="C274" s="25" t="s">
        <v>1079</v>
      </c>
      <c r="D274" s="25" t="s">
        <v>1080</v>
      </c>
      <c r="E274" s="4" t="s">
        <v>112</v>
      </c>
      <c r="F274" s="20" t="s">
        <v>87</v>
      </c>
      <c r="G274" s="20">
        <f>288.67</f>
        <v>288.67</v>
      </c>
      <c r="H274" s="5">
        <v>12</v>
      </c>
      <c r="I274" s="5">
        <v>20</v>
      </c>
      <c r="L274" s="95">
        <v>44567</v>
      </c>
      <c r="M274" s="25" t="s">
        <v>1072</v>
      </c>
      <c r="N274" s="44" t="s">
        <v>1073</v>
      </c>
      <c r="O274" s="2" t="s">
        <v>1081</v>
      </c>
      <c r="P274" s="2" t="s">
        <v>1025</v>
      </c>
      <c r="Q274" s="18" t="s">
        <v>1082</v>
      </c>
      <c r="R274" s="18"/>
      <c r="S274"/>
    </row>
    <row r="275" spans="1:19" x14ac:dyDescent="0.3">
      <c r="A275" s="2" t="s">
        <v>55</v>
      </c>
      <c r="B275" s="16" t="s">
        <v>124</v>
      </c>
      <c r="C275" s="2" t="s">
        <v>1083</v>
      </c>
      <c r="D275" s="19" t="s">
        <v>1084</v>
      </c>
      <c r="E275" s="4" t="s">
        <v>645</v>
      </c>
      <c r="F275" s="67" t="s">
        <v>1085</v>
      </c>
      <c r="G275" s="25">
        <v>10000</v>
      </c>
      <c r="H275" s="5">
        <v>1</v>
      </c>
      <c r="I275" s="595">
        <v>1</v>
      </c>
      <c r="M275" s="2" t="s">
        <v>1004</v>
      </c>
      <c r="O275" s="2" t="s">
        <v>28</v>
      </c>
      <c r="Q275" t="s">
        <v>1086</v>
      </c>
      <c r="R275"/>
      <c r="S275"/>
    </row>
    <row r="276" spans="1:19" x14ac:dyDescent="0.3">
      <c r="A276" s="2" t="s">
        <v>55</v>
      </c>
      <c r="B276" s="16" t="s">
        <v>124</v>
      </c>
      <c r="C276" s="2" t="s">
        <v>1066</v>
      </c>
      <c r="D276" s="19" t="s">
        <v>1084</v>
      </c>
      <c r="E276" s="4" t="s">
        <v>645</v>
      </c>
      <c r="F276" s="67" t="s">
        <v>1068</v>
      </c>
      <c r="G276" s="25">
        <v>30000</v>
      </c>
      <c r="H276" s="2"/>
      <c r="I276" s="596"/>
      <c r="M276" s="2" t="s">
        <v>1004</v>
      </c>
      <c r="O276" s="2" t="s">
        <v>1087</v>
      </c>
      <c r="Q276" t="s">
        <v>1086</v>
      </c>
      <c r="R276"/>
      <c r="S276"/>
    </row>
    <row r="277" spans="1:19" x14ac:dyDescent="0.3">
      <c r="A277" s="2" t="s">
        <v>55</v>
      </c>
      <c r="B277" s="25" t="s">
        <v>157</v>
      </c>
      <c r="C277" s="25" t="s">
        <v>1088</v>
      </c>
      <c r="D277" s="25" t="s">
        <v>1089</v>
      </c>
      <c r="E277" s="4" t="s">
        <v>112</v>
      </c>
      <c r="F277" s="20" t="s">
        <v>87</v>
      </c>
      <c r="G277" s="20">
        <f>480.24</f>
        <v>480.24</v>
      </c>
      <c r="H277" s="5">
        <v>20</v>
      </c>
      <c r="I277" s="5">
        <v>20</v>
      </c>
      <c r="L277" s="95">
        <v>44567</v>
      </c>
      <c r="M277" s="25" t="s">
        <v>1072</v>
      </c>
      <c r="N277" s="44" t="s">
        <v>1073</v>
      </c>
      <c r="O277" s="2" t="s">
        <v>1074</v>
      </c>
      <c r="P277" s="2" t="s">
        <v>1025</v>
      </c>
      <c r="Q277" s="18" t="s">
        <v>1090</v>
      </c>
      <c r="R277" s="18"/>
      <c r="S277"/>
    </row>
    <row r="278" spans="1:19" x14ac:dyDescent="0.3">
      <c r="A278" s="2" t="s">
        <v>49</v>
      </c>
      <c r="B278" s="16" t="s">
        <v>166</v>
      </c>
      <c r="C278" s="2" t="s">
        <v>980</v>
      </c>
      <c r="D278" s="19" t="s">
        <v>1091</v>
      </c>
      <c r="E278" s="4" t="s">
        <v>1092</v>
      </c>
      <c r="F278" s="2" t="s">
        <v>1093</v>
      </c>
      <c r="G278" s="2">
        <v>28</v>
      </c>
      <c r="H278" s="5">
        <v>1</v>
      </c>
    </row>
    <row r="279" spans="1:19" ht="15.6" x14ac:dyDescent="0.3">
      <c r="A279" s="2" t="s">
        <v>344</v>
      </c>
      <c r="B279" s="11" t="s">
        <v>690</v>
      </c>
      <c r="C279" s="20" t="s">
        <v>1094</v>
      </c>
      <c r="D279" s="25" t="s">
        <v>1095</v>
      </c>
      <c r="E279" s="4" t="s">
        <v>472</v>
      </c>
      <c r="F279" s="7" t="s">
        <v>42</v>
      </c>
      <c r="G279" s="57">
        <v>501.08199999999999</v>
      </c>
      <c r="H279" s="5">
        <v>20</v>
      </c>
      <c r="I279" s="5">
        <v>40</v>
      </c>
    </row>
    <row r="280" spans="1:19" x14ac:dyDescent="0.3">
      <c r="A280" s="2" t="s">
        <v>55</v>
      </c>
      <c r="B280" s="20" t="s">
        <v>149</v>
      </c>
      <c r="C280" s="6" t="s">
        <v>1096</v>
      </c>
      <c r="D280" s="25" t="s">
        <v>1097</v>
      </c>
      <c r="E280" s="4" t="s">
        <v>312</v>
      </c>
      <c r="F280" s="20" t="s">
        <v>152</v>
      </c>
      <c r="G280" s="55">
        <v>20</v>
      </c>
      <c r="H280" s="5">
        <v>1</v>
      </c>
      <c r="I280" s="5">
        <v>20</v>
      </c>
    </row>
    <row r="281" spans="1:19" x14ac:dyDescent="0.3">
      <c r="A281" s="2" t="s">
        <v>55</v>
      </c>
      <c r="B281" s="25" t="s">
        <v>652</v>
      </c>
      <c r="C281" s="25" t="s">
        <v>1098</v>
      </c>
      <c r="D281" s="25" t="s">
        <v>1099</v>
      </c>
      <c r="E281" s="4" t="s">
        <v>112</v>
      </c>
      <c r="F281" s="20" t="s">
        <v>87</v>
      </c>
      <c r="G281" s="20">
        <v>508.55700000000002</v>
      </c>
      <c r="H281" s="34">
        <v>25</v>
      </c>
      <c r="I281" s="34">
        <v>20</v>
      </c>
    </row>
    <row r="282" spans="1:19" x14ac:dyDescent="0.3">
      <c r="A282" s="2" t="s">
        <v>49</v>
      </c>
      <c r="B282" s="25" t="s">
        <v>1100</v>
      </c>
      <c r="C282" s="25" t="s">
        <v>1101</v>
      </c>
      <c r="D282" s="25" t="s">
        <v>1102</v>
      </c>
      <c r="E282" s="4" t="s">
        <v>41</v>
      </c>
      <c r="F282" s="25" t="s">
        <v>1103</v>
      </c>
      <c r="G282" s="25">
        <v>49.5</v>
      </c>
      <c r="H282" s="5">
        <v>2</v>
      </c>
      <c r="I282" s="5">
        <v>40</v>
      </c>
    </row>
    <row r="283" spans="1:19" x14ac:dyDescent="0.3">
      <c r="A283" s="2" t="s">
        <v>49</v>
      </c>
      <c r="B283" s="25" t="s">
        <v>1100</v>
      </c>
      <c r="C283" s="25" t="s">
        <v>1101</v>
      </c>
      <c r="D283" s="25" t="s">
        <v>1104</v>
      </c>
      <c r="E283" s="4" t="s">
        <v>41</v>
      </c>
      <c r="F283" s="25" t="s">
        <v>1105</v>
      </c>
      <c r="G283" s="25">
        <v>25.5</v>
      </c>
      <c r="H283" s="5">
        <v>1</v>
      </c>
      <c r="I283" s="5">
        <v>40</v>
      </c>
    </row>
    <row r="284" spans="1:19" x14ac:dyDescent="0.3">
      <c r="A284" s="2" t="s">
        <v>49</v>
      </c>
      <c r="B284" s="16" t="s">
        <v>812</v>
      </c>
      <c r="C284" s="25" t="s">
        <v>1106</v>
      </c>
      <c r="D284" s="4">
        <v>609053515</v>
      </c>
      <c r="E284" s="4" t="s">
        <v>41</v>
      </c>
      <c r="F284" s="25" t="s">
        <v>1107</v>
      </c>
      <c r="G284" s="25">
        <v>32</v>
      </c>
      <c r="H284" s="5">
        <v>2</v>
      </c>
      <c r="I284" s="5">
        <v>20</v>
      </c>
    </row>
    <row r="285" spans="1:19" ht="15.6" x14ac:dyDescent="0.3">
      <c r="A285" s="2" t="s">
        <v>49</v>
      </c>
      <c r="B285" s="16" t="s">
        <v>330</v>
      </c>
      <c r="C285" s="31" t="s">
        <v>1108</v>
      </c>
      <c r="D285" s="25"/>
      <c r="F285" s="25" t="s">
        <v>333</v>
      </c>
      <c r="G285" s="25">
        <v>20</v>
      </c>
      <c r="I285" s="5">
        <v>1</v>
      </c>
    </row>
    <row r="286" spans="1:19" x14ac:dyDescent="0.3">
      <c r="A286" s="2" t="s">
        <v>55</v>
      </c>
      <c r="B286" s="25" t="s">
        <v>39</v>
      </c>
      <c r="C286" s="25" t="s">
        <v>1054</v>
      </c>
      <c r="D286" s="15" t="s">
        <v>1109</v>
      </c>
      <c r="E286" s="4" t="s">
        <v>41</v>
      </c>
      <c r="F286" s="7" t="s">
        <v>42</v>
      </c>
      <c r="G286" s="56">
        <v>443.16199999999998</v>
      </c>
      <c r="H286" s="5">
        <v>17</v>
      </c>
      <c r="I286" s="5">
        <v>40</v>
      </c>
    </row>
    <row r="287" spans="1:19" x14ac:dyDescent="0.3">
      <c r="A287" s="2" t="s">
        <v>55</v>
      </c>
      <c r="B287" s="20" t="s">
        <v>149</v>
      </c>
      <c r="C287" s="6" t="s">
        <v>1110</v>
      </c>
      <c r="D287" s="25" t="s">
        <v>1111</v>
      </c>
      <c r="E287" s="4" t="s">
        <v>312</v>
      </c>
      <c r="F287" s="20" t="s">
        <v>152</v>
      </c>
      <c r="G287" s="55">
        <v>20</v>
      </c>
      <c r="H287" s="5">
        <v>1</v>
      </c>
      <c r="I287" s="5">
        <v>20</v>
      </c>
    </row>
    <row r="288" spans="1:19" x14ac:dyDescent="0.3">
      <c r="A288" s="2" t="s">
        <v>344</v>
      </c>
      <c r="B288" s="25" t="s">
        <v>934</v>
      </c>
      <c r="C288" s="4" t="s">
        <v>1112</v>
      </c>
      <c r="D288" s="4" t="s">
        <v>1113</v>
      </c>
      <c r="E288" s="4" t="s">
        <v>584</v>
      </c>
      <c r="F288" s="7" t="s">
        <v>205</v>
      </c>
      <c r="G288" s="23">
        <v>72</v>
      </c>
      <c r="H288" s="5">
        <v>3</v>
      </c>
      <c r="I288" s="5">
        <v>20</v>
      </c>
    </row>
    <row r="289" spans="1:16" x14ac:dyDescent="0.3">
      <c r="A289" s="2" t="s">
        <v>60</v>
      </c>
      <c r="B289" s="25" t="s">
        <v>934</v>
      </c>
      <c r="C289" s="224" t="s">
        <v>1114</v>
      </c>
      <c r="D289" s="25" t="s">
        <v>1115</v>
      </c>
      <c r="E289" s="4" t="s">
        <v>584</v>
      </c>
      <c r="F289" s="16" t="s">
        <v>1116</v>
      </c>
      <c r="G289" s="65">
        <v>27</v>
      </c>
      <c r="H289" s="5">
        <v>1</v>
      </c>
      <c r="I289" s="5">
        <v>20</v>
      </c>
    </row>
    <row r="290" spans="1:16" x14ac:dyDescent="0.3">
      <c r="A290" s="2" t="s">
        <v>55</v>
      </c>
      <c r="B290" s="25" t="s">
        <v>934</v>
      </c>
      <c r="C290" s="25" t="s">
        <v>1117</v>
      </c>
      <c r="D290" s="25" t="s">
        <v>1118</v>
      </c>
      <c r="E290" s="4" t="s">
        <v>584</v>
      </c>
      <c r="F290" s="16" t="s">
        <v>1116</v>
      </c>
      <c r="G290" s="23">
        <v>54</v>
      </c>
      <c r="H290" s="5">
        <v>2</v>
      </c>
      <c r="I290" s="5">
        <v>20</v>
      </c>
    </row>
    <row r="291" spans="1:16" x14ac:dyDescent="0.3">
      <c r="A291" s="2" t="s">
        <v>55</v>
      </c>
      <c r="B291" s="25" t="s">
        <v>1119</v>
      </c>
      <c r="C291" s="6" t="s">
        <v>1120</v>
      </c>
      <c r="D291" s="25" t="s">
        <v>1121</v>
      </c>
      <c r="F291" s="34" t="s">
        <v>1122</v>
      </c>
      <c r="G291" s="25" t="s">
        <v>1123</v>
      </c>
    </row>
    <row r="292" spans="1:16" x14ac:dyDescent="0.3">
      <c r="A292" s="2" t="s">
        <v>60</v>
      </c>
      <c r="B292" s="25" t="s">
        <v>345</v>
      </c>
      <c r="C292" s="25" t="s">
        <v>1124</v>
      </c>
      <c r="D292" s="4">
        <v>218447584</v>
      </c>
      <c r="E292" s="4" t="s">
        <v>41</v>
      </c>
      <c r="F292" s="16" t="s">
        <v>205</v>
      </c>
      <c r="G292" s="20">
        <v>54</v>
      </c>
      <c r="H292" s="5">
        <v>2</v>
      </c>
      <c r="I292" s="5">
        <v>20</v>
      </c>
    </row>
    <row r="293" spans="1:16" x14ac:dyDescent="0.3">
      <c r="A293" s="2" t="s">
        <v>60</v>
      </c>
      <c r="B293" s="25" t="s">
        <v>1125</v>
      </c>
      <c r="C293" s="4" t="s">
        <v>1126</v>
      </c>
      <c r="D293" s="25" t="s">
        <v>1127</v>
      </c>
      <c r="E293" s="4" t="s">
        <v>41</v>
      </c>
      <c r="F293" s="16" t="s">
        <v>1128</v>
      </c>
      <c r="G293" s="23">
        <v>20</v>
      </c>
      <c r="H293" s="5">
        <v>1</v>
      </c>
      <c r="I293" s="5">
        <v>20</v>
      </c>
    </row>
    <row r="294" spans="1:16" x14ac:dyDescent="0.3">
      <c r="A294" s="2" t="s">
        <v>55</v>
      </c>
      <c r="B294" s="25" t="s">
        <v>1129</v>
      </c>
      <c r="C294" s="25" t="s">
        <v>1130</v>
      </c>
      <c r="D294" s="2" t="s">
        <v>1131</v>
      </c>
      <c r="F294" s="2" t="s">
        <v>1132</v>
      </c>
      <c r="G294" s="2">
        <v>1</v>
      </c>
    </row>
    <row r="295" spans="1:16" x14ac:dyDescent="0.3">
      <c r="A295" s="2" t="s">
        <v>49</v>
      </c>
      <c r="B295" s="135" t="s">
        <v>76</v>
      </c>
      <c r="C295" s="19" t="s">
        <v>1133</v>
      </c>
      <c r="D295" s="2" t="s">
        <v>1134</v>
      </c>
      <c r="F295" s="15" t="s">
        <v>78</v>
      </c>
      <c r="G295" s="25">
        <v>50</v>
      </c>
      <c r="H295" s="5">
        <v>2</v>
      </c>
    </row>
    <row r="296" spans="1:16" x14ac:dyDescent="0.3">
      <c r="A296" s="2" t="s">
        <v>49</v>
      </c>
      <c r="B296" s="222" t="s">
        <v>124</v>
      </c>
      <c r="C296" s="2" t="s">
        <v>1135</v>
      </c>
      <c r="D296" s="2" t="s">
        <v>1136</v>
      </c>
      <c r="F296" s="67" t="s">
        <v>729</v>
      </c>
      <c r="G296" s="25">
        <v>35000</v>
      </c>
      <c r="H296" s="5">
        <v>1</v>
      </c>
    </row>
    <row r="297" spans="1:16" x14ac:dyDescent="0.3">
      <c r="F297" s="67" t="s">
        <v>731</v>
      </c>
      <c r="G297" s="25">
        <v>24000</v>
      </c>
    </row>
    <row r="298" spans="1:16" x14ac:dyDescent="0.3">
      <c r="C298" s="95"/>
      <c r="E298" s="2"/>
      <c r="F298" s="67" t="s">
        <v>1137</v>
      </c>
      <c r="G298" s="25">
        <v>1000</v>
      </c>
      <c r="I298" s="2"/>
      <c r="L298" s="112">
        <v>44568</v>
      </c>
      <c r="N298" s="2" t="s">
        <v>1138</v>
      </c>
      <c r="O298" s="112">
        <v>44780</v>
      </c>
      <c r="P298" s="74" t="s">
        <v>1139</v>
      </c>
    </row>
    <row r="299" spans="1:16" x14ac:dyDescent="0.3">
      <c r="A299" s="2" t="s">
        <v>49</v>
      </c>
      <c r="B299" s="25" t="s">
        <v>1140</v>
      </c>
      <c r="C299" s="35" t="s">
        <v>1141</v>
      </c>
      <c r="E299" s="112"/>
      <c r="F299" s="25" t="s">
        <v>24</v>
      </c>
      <c r="G299" s="20">
        <v>28.343</v>
      </c>
      <c r="H299" s="5">
        <v>1</v>
      </c>
      <c r="I299" s="2"/>
      <c r="L299" s="112">
        <v>44872</v>
      </c>
      <c r="N299" s="2" t="s">
        <v>28</v>
      </c>
      <c r="O299" s="112">
        <v>44902</v>
      </c>
      <c r="P299"/>
    </row>
    <row r="300" spans="1:16" x14ac:dyDescent="0.3">
      <c r="G300" s="5">
        <f>SUBTOTAL(9,G21:G281)</f>
        <v>184844.20699999997</v>
      </c>
      <c r="H300" s="5">
        <f>SUBTOTAL(9,H21:H281)</f>
        <v>1805</v>
      </c>
    </row>
  </sheetData>
  <autoFilter ref="A1:I299" xr:uid="{43AE20F9-DB62-4E2A-98C7-30AB688A14CC}"/>
  <mergeCells count="12">
    <mergeCell ref="B71:B72"/>
    <mergeCell ref="C71:C72"/>
    <mergeCell ref="C120:C121"/>
    <mergeCell ref="D120:D121"/>
    <mergeCell ref="B195:B196"/>
    <mergeCell ref="C195:C196"/>
    <mergeCell ref="D195:D196"/>
    <mergeCell ref="Q195:Q196"/>
    <mergeCell ref="B204:B205"/>
    <mergeCell ref="C204:C205"/>
    <mergeCell ref="O204:O205"/>
    <mergeCell ref="I275:I27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pageSetUpPr fitToPage="1"/>
  </sheetPr>
  <dimension ref="A1:V1048499"/>
  <sheetViews>
    <sheetView tabSelected="1" zoomScale="74" zoomScaleNormal="115" workbookViewId="0">
      <pane xSplit="3" ySplit="2" topLeftCell="G3" activePane="bottomRight" state="frozen"/>
      <selection activeCell="B461" sqref="B461"/>
      <selection pane="topRight" activeCell="B461" sqref="B461"/>
      <selection pane="bottomLeft" activeCell="B461" sqref="B461"/>
      <selection pane="bottomRight" activeCell="A2" sqref="A2"/>
    </sheetView>
  </sheetViews>
  <sheetFormatPr defaultColWidth="9.109375" defaultRowHeight="14.4" x14ac:dyDescent="0.3"/>
  <cols>
    <col min="1" max="1" width="4.33203125" style="282" customWidth="1"/>
    <col min="2" max="2" width="23.5546875" style="282" customWidth="1"/>
    <col min="3" max="3" width="21.5546875" style="282" bestFit="1" customWidth="1"/>
    <col min="4" max="4" width="9.33203125" style="282" customWidth="1"/>
    <col min="5" max="5" width="16.6640625" style="282" customWidth="1"/>
    <col min="6" max="6" width="12.109375" style="282" bestFit="1" customWidth="1"/>
    <col min="7" max="7" width="17.44140625" style="282" customWidth="1"/>
    <col min="8" max="8" width="11.5546875" style="282" customWidth="1"/>
    <col min="9" max="9" width="15.77734375" style="282" customWidth="1"/>
    <col min="10" max="10" width="21.33203125" style="282" customWidth="1"/>
    <col min="11" max="11" width="13.44140625" style="282" bestFit="1" customWidth="1"/>
    <col min="12" max="12" width="7" style="282" customWidth="1"/>
    <col min="13" max="13" width="6.5546875" style="282" customWidth="1"/>
    <col min="14" max="14" width="7.21875" style="282" customWidth="1"/>
    <col min="15" max="15" width="12.6640625" style="282" bestFit="1" customWidth="1"/>
    <col min="16" max="16" width="12.33203125" style="282" bestFit="1" customWidth="1"/>
    <col min="17" max="17" width="10.6640625" style="282" bestFit="1" customWidth="1"/>
    <col min="18" max="18" width="16.109375" style="282" bestFit="1" customWidth="1"/>
    <col min="19" max="19" width="15.109375" style="282" bestFit="1" customWidth="1"/>
    <col min="20" max="20" width="10.77734375" style="282" customWidth="1"/>
    <col min="21" max="21" width="10.6640625" style="282" customWidth="1"/>
    <col min="22" max="16384" width="9.109375" style="282"/>
  </cols>
  <sheetData>
    <row r="1" spans="1:22" ht="21" x14ac:dyDescent="0.3">
      <c r="A1" s="599" t="s">
        <v>1246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33"/>
      <c r="T1" s="533"/>
    </row>
    <row r="2" spans="1:22" s="281" customFormat="1" ht="27.6" x14ac:dyDescent="0.3">
      <c r="A2" s="534" t="s">
        <v>1247</v>
      </c>
      <c r="B2" s="534" t="s">
        <v>1</v>
      </c>
      <c r="C2" s="534" t="s">
        <v>2</v>
      </c>
      <c r="D2" s="534" t="s">
        <v>3</v>
      </c>
      <c r="E2" s="534" t="s">
        <v>4</v>
      </c>
      <c r="F2" s="534" t="s">
        <v>5</v>
      </c>
      <c r="G2" s="534" t="s">
        <v>6</v>
      </c>
      <c r="H2" s="534" t="s">
        <v>7</v>
      </c>
      <c r="I2" s="534" t="s">
        <v>8</v>
      </c>
      <c r="J2" s="534" t="s">
        <v>9</v>
      </c>
      <c r="K2" s="534" t="s">
        <v>10</v>
      </c>
      <c r="L2" s="534" t="s">
        <v>1248</v>
      </c>
      <c r="M2" s="534" t="s">
        <v>1249</v>
      </c>
      <c r="N2" s="534" t="s">
        <v>1142</v>
      </c>
      <c r="O2" s="534" t="s">
        <v>1250</v>
      </c>
      <c r="P2" s="534" t="s">
        <v>12</v>
      </c>
      <c r="Q2" s="534" t="s">
        <v>13</v>
      </c>
      <c r="R2" s="534" t="s">
        <v>14</v>
      </c>
      <c r="S2" s="534" t="s">
        <v>15</v>
      </c>
      <c r="T2" s="534" t="s">
        <v>5215</v>
      </c>
    </row>
    <row r="3" spans="1:22" s="281" customFormat="1" ht="28.8" x14ac:dyDescent="0.3">
      <c r="A3" s="589">
        <v>1</v>
      </c>
      <c r="B3" s="27" t="s">
        <v>2864</v>
      </c>
      <c r="C3" s="2" t="s">
        <v>3134</v>
      </c>
      <c r="D3" s="2"/>
      <c r="E3" s="2" t="s">
        <v>6211</v>
      </c>
      <c r="F3" s="2" t="s">
        <v>1462</v>
      </c>
      <c r="G3" s="19">
        <v>272573330</v>
      </c>
      <c r="H3" s="2" t="s">
        <v>6187</v>
      </c>
      <c r="I3" s="2" t="s">
        <v>1462</v>
      </c>
      <c r="J3" s="2" t="s">
        <v>243</v>
      </c>
      <c r="K3" s="5">
        <v>157.69999999999999</v>
      </c>
      <c r="L3" s="44">
        <v>590</v>
      </c>
      <c r="M3" s="44">
        <v>6</v>
      </c>
      <c r="N3" s="44">
        <v>20</v>
      </c>
      <c r="O3" s="2" t="s">
        <v>6269</v>
      </c>
      <c r="P3" s="2" t="s">
        <v>6404</v>
      </c>
      <c r="Q3" s="252" t="s">
        <v>6400</v>
      </c>
      <c r="R3" s="252" t="s">
        <v>28</v>
      </c>
      <c r="S3" s="2"/>
      <c r="T3" s="252" t="s">
        <v>6246</v>
      </c>
    </row>
    <row r="4" spans="1:22" s="281" customFormat="1" ht="28.8" x14ac:dyDescent="0.3">
      <c r="A4" s="589">
        <v>2</v>
      </c>
      <c r="B4" s="261" t="s">
        <v>6181</v>
      </c>
      <c r="C4" s="330" t="s">
        <v>6192</v>
      </c>
      <c r="D4" s="252" t="s">
        <v>6100</v>
      </c>
      <c r="E4" s="2" t="s">
        <v>6189</v>
      </c>
      <c r="F4" s="252" t="s">
        <v>1462</v>
      </c>
      <c r="G4" s="252" t="s">
        <v>6196</v>
      </c>
      <c r="H4" s="252" t="s">
        <v>6135</v>
      </c>
      <c r="I4" s="252" t="s">
        <v>1462</v>
      </c>
      <c r="J4" s="252" t="s">
        <v>106</v>
      </c>
      <c r="K4" s="283">
        <v>122.33</v>
      </c>
      <c r="L4" s="252">
        <v>645</v>
      </c>
      <c r="M4" s="252">
        <v>5</v>
      </c>
      <c r="N4" s="252">
        <v>20</v>
      </c>
      <c r="O4" s="252" t="s">
        <v>6367</v>
      </c>
      <c r="P4" s="252" t="s">
        <v>6409</v>
      </c>
      <c r="Q4" s="252" t="s">
        <v>6410</v>
      </c>
      <c r="R4" s="252" t="s">
        <v>6347</v>
      </c>
      <c r="S4" s="252"/>
      <c r="T4" s="261" t="s">
        <v>6191</v>
      </c>
      <c r="U4" s="282" t="s">
        <v>6405</v>
      </c>
      <c r="V4" s="282" t="s">
        <v>6372</v>
      </c>
    </row>
    <row r="5" spans="1:22" ht="28.8" x14ac:dyDescent="0.3">
      <c r="A5" s="535">
        <v>3</v>
      </c>
      <c r="B5" s="252" t="s">
        <v>5924</v>
      </c>
      <c r="C5" s="581" t="s">
        <v>6228</v>
      </c>
      <c r="D5" s="252" t="s">
        <v>5986</v>
      </c>
      <c r="E5" s="252" t="s">
        <v>6166</v>
      </c>
      <c r="F5" s="252" t="s">
        <v>1462</v>
      </c>
      <c r="G5" s="252" t="s">
        <v>6336</v>
      </c>
      <c r="H5" s="252" t="s">
        <v>6205</v>
      </c>
      <c r="I5" s="252" t="s">
        <v>1462</v>
      </c>
      <c r="J5" s="252" t="s">
        <v>5601</v>
      </c>
      <c r="K5" s="283">
        <v>124.92</v>
      </c>
      <c r="L5" s="252">
        <v>610</v>
      </c>
      <c r="M5" s="252">
        <v>5</v>
      </c>
      <c r="N5" s="252">
        <v>20</v>
      </c>
      <c r="O5" s="252" t="s">
        <v>6389</v>
      </c>
      <c r="P5" s="252" t="s">
        <v>6390</v>
      </c>
      <c r="Q5" s="252">
        <v>14</v>
      </c>
      <c r="R5" s="252" t="s">
        <v>6369</v>
      </c>
      <c r="S5" s="252"/>
      <c r="T5" s="253" t="s">
        <v>6395</v>
      </c>
    </row>
    <row r="6" spans="1:22" ht="28.8" x14ac:dyDescent="0.3">
      <c r="A6" s="589">
        <v>4</v>
      </c>
      <c r="B6" s="252" t="s">
        <v>5924</v>
      </c>
      <c r="C6" s="252" t="s">
        <v>6206</v>
      </c>
      <c r="D6" s="252" t="s">
        <v>6104</v>
      </c>
      <c r="E6" s="252" t="s">
        <v>6169</v>
      </c>
      <c r="F6" s="252" t="s">
        <v>1462</v>
      </c>
      <c r="G6" s="252" t="s">
        <v>6330</v>
      </c>
      <c r="H6" s="252" t="s">
        <v>6276</v>
      </c>
      <c r="I6" s="252" t="s">
        <v>1462</v>
      </c>
      <c r="J6" s="252" t="s">
        <v>5601</v>
      </c>
      <c r="K6" s="283">
        <v>123.47</v>
      </c>
      <c r="L6" s="252">
        <v>610</v>
      </c>
      <c r="M6" s="252">
        <v>5</v>
      </c>
      <c r="N6" s="252">
        <v>20</v>
      </c>
      <c r="O6" s="252" t="s">
        <v>6389</v>
      </c>
      <c r="P6" s="252" t="s">
        <v>6390</v>
      </c>
      <c r="Q6" s="252">
        <v>14</v>
      </c>
      <c r="R6" s="252" t="s">
        <v>6371</v>
      </c>
      <c r="S6" s="252"/>
      <c r="T6" s="253" t="s">
        <v>6370</v>
      </c>
    </row>
    <row r="7" spans="1:22" ht="28.8" x14ac:dyDescent="0.3">
      <c r="A7" s="535">
        <v>5</v>
      </c>
      <c r="B7" s="252" t="s">
        <v>6176</v>
      </c>
      <c r="C7" s="252" t="s">
        <v>1252</v>
      </c>
      <c r="D7" s="252"/>
      <c r="E7" s="252" t="s">
        <v>6342</v>
      </c>
      <c r="F7" s="252" t="s">
        <v>1462</v>
      </c>
      <c r="G7" s="252" t="s">
        <v>6341</v>
      </c>
      <c r="H7" s="252" t="s">
        <v>6132</v>
      </c>
      <c r="I7" s="252" t="s">
        <v>1462</v>
      </c>
      <c r="J7" s="252" t="s">
        <v>106</v>
      </c>
      <c r="K7" s="283">
        <v>121.6</v>
      </c>
      <c r="L7" s="252">
        <v>642</v>
      </c>
      <c r="M7" s="252">
        <v>5</v>
      </c>
      <c r="N7" s="252">
        <v>20</v>
      </c>
      <c r="O7" s="252" t="s">
        <v>6391</v>
      </c>
      <c r="P7" s="252" t="s">
        <v>6392</v>
      </c>
      <c r="Q7" s="252">
        <v>14</v>
      </c>
      <c r="R7" s="252" t="s">
        <v>212</v>
      </c>
      <c r="S7" s="252"/>
      <c r="T7" s="252" t="s">
        <v>6366</v>
      </c>
    </row>
    <row r="8" spans="1:22" ht="28.8" x14ac:dyDescent="0.3">
      <c r="A8" s="589">
        <v>6</v>
      </c>
      <c r="B8" s="252" t="s">
        <v>6181</v>
      </c>
      <c r="C8" s="252" t="s">
        <v>6182</v>
      </c>
      <c r="D8" s="252" t="s">
        <v>6141</v>
      </c>
      <c r="E8" s="252" t="s">
        <v>6183</v>
      </c>
      <c r="F8" s="252" t="s">
        <v>1462</v>
      </c>
      <c r="G8" s="252" t="s">
        <v>6184</v>
      </c>
      <c r="H8" s="252" t="s">
        <v>6025</v>
      </c>
      <c r="I8" s="252" t="s">
        <v>1462</v>
      </c>
      <c r="J8" s="252" t="s">
        <v>106</v>
      </c>
      <c r="K8" s="283">
        <v>123.18</v>
      </c>
      <c r="L8" s="252">
        <v>645</v>
      </c>
      <c r="M8" s="252">
        <v>5</v>
      </c>
      <c r="N8" s="252">
        <v>20</v>
      </c>
      <c r="O8" s="252" t="s">
        <v>6186</v>
      </c>
      <c r="P8" s="252" t="s">
        <v>6390</v>
      </c>
      <c r="Q8" s="252">
        <v>14</v>
      </c>
      <c r="R8" s="252" t="s">
        <v>6369</v>
      </c>
      <c r="S8" s="252"/>
      <c r="T8" s="253" t="s">
        <v>6396</v>
      </c>
    </row>
    <row r="9" spans="1:22" ht="28.8" x14ac:dyDescent="0.3">
      <c r="A9" s="535">
        <v>7</v>
      </c>
      <c r="B9" s="252" t="s">
        <v>3405</v>
      </c>
      <c r="C9" s="252" t="s">
        <v>6260</v>
      </c>
      <c r="D9" s="252"/>
      <c r="E9" s="252" t="s">
        <v>6255</v>
      </c>
      <c r="F9" s="252" t="s">
        <v>1462</v>
      </c>
      <c r="G9" s="236">
        <v>274624527</v>
      </c>
      <c r="H9" s="252" t="s">
        <v>6222</v>
      </c>
      <c r="I9" s="252" t="s">
        <v>1462</v>
      </c>
      <c r="J9" s="252" t="s">
        <v>106</v>
      </c>
      <c r="K9" s="283">
        <v>146.6</v>
      </c>
      <c r="L9" s="252">
        <v>638</v>
      </c>
      <c r="M9" s="252">
        <v>6</v>
      </c>
      <c r="N9" s="252">
        <v>20</v>
      </c>
      <c r="O9" s="252" t="s">
        <v>6393</v>
      </c>
      <c r="P9" s="252" t="s">
        <v>6343</v>
      </c>
      <c r="Q9" s="252">
        <v>14</v>
      </c>
      <c r="R9" s="252" t="s">
        <v>212</v>
      </c>
      <c r="S9" s="252"/>
      <c r="T9" s="252" t="s">
        <v>6261</v>
      </c>
    </row>
    <row r="10" spans="1:22" ht="43.2" x14ac:dyDescent="0.3">
      <c r="A10" s="535">
        <v>8</v>
      </c>
      <c r="B10" s="252" t="s">
        <v>6257</v>
      </c>
      <c r="C10" s="252" t="s">
        <v>1252</v>
      </c>
      <c r="D10" s="252"/>
      <c r="E10" s="252" t="s">
        <v>6258</v>
      </c>
      <c r="F10" s="252" t="s">
        <v>6294</v>
      </c>
      <c r="G10" s="251">
        <v>275690364</v>
      </c>
      <c r="H10" s="252" t="s">
        <v>6293</v>
      </c>
      <c r="I10" s="252" t="s">
        <v>6294</v>
      </c>
      <c r="J10" s="252" t="s">
        <v>6309</v>
      </c>
      <c r="K10" s="283">
        <v>100</v>
      </c>
      <c r="L10" s="252">
        <v>915</v>
      </c>
      <c r="M10" s="252">
        <v>4</v>
      </c>
      <c r="N10" s="252">
        <v>20</v>
      </c>
      <c r="O10" s="583" t="s">
        <v>6315</v>
      </c>
      <c r="P10" s="252" t="s">
        <v>6392</v>
      </c>
      <c r="Q10" s="252">
        <v>14</v>
      </c>
      <c r="R10" s="252" t="s">
        <v>212</v>
      </c>
      <c r="S10" s="252"/>
      <c r="T10" s="252" t="s">
        <v>6328</v>
      </c>
    </row>
    <row r="11" spans="1:22" ht="28.8" x14ac:dyDescent="0.3">
      <c r="A11" s="535">
        <v>9</v>
      </c>
      <c r="B11" s="252" t="s">
        <v>3405</v>
      </c>
      <c r="C11" s="252" t="s">
        <v>6260</v>
      </c>
      <c r="D11" s="252"/>
      <c r="E11" s="252" t="s">
        <v>6273</v>
      </c>
      <c r="F11" s="252" t="s">
        <v>1462</v>
      </c>
      <c r="G11" s="236">
        <v>274456174</v>
      </c>
      <c r="H11" s="252" t="s">
        <v>6301</v>
      </c>
      <c r="I11" s="252" t="s">
        <v>1462</v>
      </c>
      <c r="J11" s="252" t="s">
        <v>243</v>
      </c>
      <c r="K11" s="283">
        <v>149.59</v>
      </c>
      <c r="L11" s="252">
        <v>575</v>
      </c>
      <c r="M11" s="252">
        <v>6</v>
      </c>
      <c r="N11" s="252">
        <v>20</v>
      </c>
      <c r="O11" s="252" t="s">
        <v>6394</v>
      </c>
      <c r="P11" s="252" t="s">
        <v>6393</v>
      </c>
      <c r="Q11" s="252">
        <v>14</v>
      </c>
      <c r="R11" s="252" t="s">
        <v>212</v>
      </c>
      <c r="S11" s="252"/>
      <c r="T11" s="252" t="s">
        <v>6329</v>
      </c>
    </row>
    <row r="12" spans="1:22" ht="28.8" x14ac:dyDescent="0.3">
      <c r="A12" s="535">
        <v>10</v>
      </c>
      <c r="B12" s="252" t="s">
        <v>6254</v>
      </c>
      <c r="C12" s="252" t="s">
        <v>6260</v>
      </c>
      <c r="D12" s="252"/>
      <c r="E12" s="252" t="s">
        <v>6259</v>
      </c>
      <c r="F12" s="252" t="s">
        <v>1462</v>
      </c>
      <c r="G12" s="252" t="s">
        <v>6335</v>
      </c>
      <c r="H12" s="252" t="s">
        <v>6308</v>
      </c>
      <c r="I12" s="252" t="s">
        <v>1462</v>
      </c>
      <c r="J12" s="252" t="s">
        <v>106</v>
      </c>
      <c r="K12" s="283">
        <v>122.4</v>
      </c>
      <c r="L12" s="252">
        <v>625</v>
      </c>
      <c r="M12" s="252">
        <v>5</v>
      </c>
      <c r="N12" s="252">
        <v>20</v>
      </c>
      <c r="O12" s="252" t="s">
        <v>6391</v>
      </c>
      <c r="P12" s="252" t="s">
        <v>6392</v>
      </c>
      <c r="Q12" s="252">
        <v>14</v>
      </c>
      <c r="R12" s="252" t="s">
        <v>212</v>
      </c>
      <c r="S12" s="252"/>
      <c r="T12" s="261" t="s">
        <v>6262</v>
      </c>
    </row>
    <row r="13" spans="1:22" ht="28.8" x14ac:dyDescent="0.3">
      <c r="A13" s="535">
        <v>11</v>
      </c>
      <c r="B13" s="252" t="s">
        <v>2427</v>
      </c>
      <c r="C13" s="252"/>
      <c r="D13" s="252"/>
      <c r="E13" s="252" t="s">
        <v>6256</v>
      </c>
      <c r="F13" s="252" t="s">
        <v>1462</v>
      </c>
      <c r="G13" s="252"/>
      <c r="H13" s="252"/>
      <c r="I13" s="252" t="s">
        <v>1462</v>
      </c>
      <c r="J13" s="252" t="s">
        <v>243</v>
      </c>
      <c r="K13" s="283">
        <v>125</v>
      </c>
      <c r="L13" s="252">
        <v>556</v>
      </c>
      <c r="M13" s="252">
        <v>5</v>
      </c>
      <c r="N13" s="252">
        <v>20</v>
      </c>
      <c r="O13" s="252" t="s">
        <v>6279</v>
      </c>
      <c r="P13" s="252"/>
      <c r="Q13" s="252">
        <v>14</v>
      </c>
      <c r="R13" s="252" t="s">
        <v>212</v>
      </c>
      <c r="S13" s="252"/>
      <c r="T13" s="252"/>
    </row>
    <row r="14" spans="1:22" ht="28.8" x14ac:dyDescent="0.3">
      <c r="A14" s="535">
        <v>12</v>
      </c>
      <c r="B14" s="252" t="s">
        <v>157</v>
      </c>
      <c r="C14" s="585" t="s">
        <v>6324</v>
      </c>
      <c r="D14" s="252" t="s">
        <v>6125</v>
      </c>
      <c r="E14" s="251">
        <v>26080701</v>
      </c>
      <c r="F14" s="252" t="s">
        <v>1272</v>
      </c>
      <c r="G14" s="252" t="s">
        <v>6338</v>
      </c>
      <c r="H14" s="252" t="s">
        <v>6293</v>
      </c>
      <c r="I14" s="252" t="s">
        <v>1272</v>
      </c>
      <c r="J14" s="252" t="s">
        <v>2600</v>
      </c>
      <c r="K14" s="283">
        <v>125</v>
      </c>
      <c r="L14" s="252">
        <v>970</v>
      </c>
      <c r="M14" s="252">
        <v>5</v>
      </c>
      <c r="N14" s="252">
        <v>20</v>
      </c>
      <c r="O14" s="252" t="s">
        <v>6372</v>
      </c>
      <c r="P14" s="252" t="s">
        <v>6315</v>
      </c>
      <c r="Q14" s="252">
        <v>14</v>
      </c>
      <c r="R14" s="252" t="s">
        <v>6373</v>
      </c>
      <c r="S14" s="252" t="s">
        <v>6345</v>
      </c>
      <c r="T14" s="252" t="s">
        <v>6339</v>
      </c>
    </row>
    <row r="15" spans="1:22" ht="43.2" x14ac:dyDescent="0.3">
      <c r="A15" s="535">
        <v>13</v>
      </c>
      <c r="B15" s="266" t="s">
        <v>6274</v>
      </c>
      <c r="C15" s="585" t="s">
        <v>6356</v>
      </c>
      <c r="D15" s="2" t="s">
        <v>6269</v>
      </c>
      <c r="E15" s="373" t="s">
        <v>6275</v>
      </c>
      <c r="F15" s="2" t="s">
        <v>1232</v>
      </c>
      <c r="G15" s="2"/>
      <c r="H15" s="2"/>
      <c r="I15" s="2" t="s">
        <v>1435</v>
      </c>
      <c r="J15" s="2" t="s">
        <v>3268</v>
      </c>
      <c r="K15" s="2"/>
      <c r="L15" s="44">
        <v>35219.25</v>
      </c>
      <c r="M15" s="44">
        <v>2</v>
      </c>
      <c r="N15" s="44">
        <v>40</v>
      </c>
      <c r="O15" s="2"/>
      <c r="P15" s="2"/>
      <c r="Q15" s="2">
        <v>14</v>
      </c>
      <c r="R15" s="2" t="s">
        <v>212</v>
      </c>
      <c r="S15" s="2"/>
      <c r="T15" s="2"/>
    </row>
    <row r="16" spans="1:22" ht="28.8" x14ac:dyDescent="0.3">
      <c r="A16" s="252">
        <v>15</v>
      </c>
      <c r="B16" s="252" t="s">
        <v>2864</v>
      </c>
      <c r="C16" s="252" t="s">
        <v>3134</v>
      </c>
      <c r="D16" s="252"/>
      <c r="E16" s="252" t="s">
        <v>6380</v>
      </c>
      <c r="F16" s="252" t="s">
        <v>1462</v>
      </c>
      <c r="G16" s="543">
        <v>276741070</v>
      </c>
      <c r="H16" s="252" t="s">
        <v>6208</v>
      </c>
      <c r="I16" s="252" t="s">
        <v>1462</v>
      </c>
      <c r="J16" s="252" t="s">
        <v>243</v>
      </c>
      <c r="K16" s="283">
        <v>125</v>
      </c>
      <c r="L16" s="252">
        <v>580</v>
      </c>
      <c r="M16" s="252">
        <v>5</v>
      </c>
      <c r="N16" s="252">
        <v>20</v>
      </c>
      <c r="O16" s="252" t="s">
        <v>6392</v>
      </c>
      <c r="P16" s="252" t="s">
        <v>6343</v>
      </c>
      <c r="Q16" s="252">
        <v>14</v>
      </c>
      <c r="R16" s="252" t="s">
        <v>212</v>
      </c>
      <c r="S16" s="252"/>
      <c r="T16" s="252"/>
    </row>
    <row r="17" spans="1:20" x14ac:dyDescent="0.3">
      <c r="A17" s="282">
        <v>16</v>
      </c>
      <c r="B17" s="590" t="s">
        <v>6230</v>
      </c>
      <c r="C17" s="591" t="s">
        <v>6325</v>
      </c>
      <c r="D17" s="375" t="s">
        <v>6178</v>
      </c>
      <c r="E17" s="102">
        <v>20260310</v>
      </c>
      <c r="F17" s="375" t="s">
        <v>3630</v>
      </c>
      <c r="G17" s="375"/>
      <c r="H17" s="375"/>
      <c r="I17" s="375" t="s">
        <v>6233</v>
      </c>
      <c r="J17" s="125" t="s">
        <v>6232</v>
      </c>
      <c r="K17" s="404">
        <v>400</v>
      </c>
      <c r="L17" s="375">
        <v>486</v>
      </c>
      <c r="M17" s="375"/>
      <c r="N17" s="375"/>
      <c r="O17" s="375" t="s">
        <v>6282</v>
      </c>
      <c r="P17" s="375"/>
      <c r="Q17" s="375"/>
      <c r="R17" s="375" t="s">
        <v>212</v>
      </c>
      <c r="S17" s="375"/>
      <c r="T17" s="375"/>
    </row>
    <row r="18" spans="1:20" ht="28.8" x14ac:dyDescent="0.3">
      <c r="A18" s="252">
        <v>17</v>
      </c>
      <c r="B18" s="253" t="s">
        <v>6230</v>
      </c>
      <c r="C18" s="585" t="s">
        <v>6271</v>
      </c>
      <c r="D18" s="252" t="s">
        <v>6204</v>
      </c>
      <c r="E18" s="19" t="s">
        <v>6231</v>
      </c>
      <c r="F18" s="252" t="s">
        <v>3630</v>
      </c>
      <c r="G18" s="252"/>
      <c r="H18" s="252"/>
      <c r="I18" s="252" t="s">
        <v>6233</v>
      </c>
      <c r="J18" s="2" t="s">
        <v>6232</v>
      </c>
      <c r="K18" s="283">
        <v>500</v>
      </c>
      <c r="L18" s="252">
        <v>488</v>
      </c>
      <c r="M18" s="252"/>
      <c r="N18" s="252"/>
      <c r="O18" s="252" t="s">
        <v>6280</v>
      </c>
      <c r="P18" s="252"/>
      <c r="Q18" s="252"/>
      <c r="R18" s="252" t="s">
        <v>212</v>
      </c>
      <c r="S18" s="252"/>
      <c r="T18" s="252" t="s">
        <v>6236</v>
      </c>
    </row>
    <row r="1048499" spans="10:10" x14ac:dyDescent="0.3">
      <c r="J1048499" s="282">
        <v>123545</v>
      </c>
    </row>
  </sheetData>
  <autoFilter ref="B2:R2" xr:uid="{00000000-0001-0000-0200-000000000000}"/>
  <mergeCells count="1">
    <mergeCell ref="A1:R1"/>
  </mergeCells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0103-688B-41B6-BAA9-CBA7C9327521}">
  <dimension ref="A1:T4"/>
  <sheetViews>
    <sheetView workbookViewId="0">
      <selection activeCell="B3" sqref="B3:V3"/>
    </sheetView>
  </sheetViews>
  <sheetFormatPr defaultRowHeight="14.4" x14ac:dyDescent="0.3"/>
  <cols>
    <col min="2" max="2" width="24.77734375" customWidth="1"/>
    <col min="3" max="3" width="17.5546875" customWidth="1"/>
    <col min="5" max="5" width="12.77734375" customWidth="1"/>
    <col min="6" max="6" width="13.77734375" customWidth="1"/>
    <col min="7" max="7" width="16.109375" customWidth="1"/>
    <col min="9" max="9" width="11.77734375" customWidth="1"/>
    <col min="10" max="10" width="24.109375" customWidth="1"/>
  </cols>
  <sheetData>
    <row r="1" spans="1:20" ht="21" x14ac:dyDescent="0.3">
      <c r="A1" s="599" t="s">
        <v>6217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33"/>
      <c r="T1" s="533"/>
    </row>
    <row r="2" spans="1:20" ht="41.4" x14ac:dyDescent="0.3">
      <c r="A2" s="534" t="s">
        <v>1247</v>
      </c>
      <c r="B2" s="534" t="s">
        <v>1</v>
      </c>
      <c r="C2" s="534" t="s">
        <v>2</v>
      </c>
      <c r="D2" s="534" t="s">
        <v>3</v>
      </c>
      <c r="E2" s="534" t="s">
        <v>4</v>
      </c>
      <c r="F2" s="534" t="s">
        <v>5</v>
      </c>
      <c r="G2" s="534" t="s">
        <v>6</v>
      </c>
      <c r="H2" s="534" t="s">
        <v>7</v>
      </c>
      <c r="I2" s="534" t="s">
        <v>8</v>
      </c>
      <c r="J2" s="534" t="s">
        <v>9</v>
      </c>
      <c r="K2" s="534" t="s">
        <v>10</v>
      </c>
      <c r="L2" s="534" t="s">
        <v>1248</v>
      </c>
      <c r="M2" s="534" t="s">
        <v>1249</v>
      </c>
      <c r="N2" s="534" t="s">
        <v>1142</v>
      </c>
      <c r="O2" s="534" t="s">
        <v>1250</v>
      </c>
      <c r="P2" s="534" t="s">
        <v>12</v>
      </c>
      <c r="Q2" s="534" t="s">
        <v>13</v>
      </c>
      <c r="R2" s="534" t="s">
        <v>14</v>
      </c>
      <c r="S2" s="534" t="s">
        <v>15</v>
      </c>
      <c r="T2" s="534" t="s">
        <v>5215</v>
      </c>
    </row>
    <row r="3" spans="1:20" x14ac:dyDescent="0.3">
      <c r="A3" s="535">
        <v>1</v>
      </c>
    </row>
    <row r="4" spans="1:20" x14ac:dyDescent="0.3">
      <c r="A4" s="2">
        <v>2</v>
      </c>
    </row>
  </sheetData>
  <mergeCells count="1">
    <mergeCell ref="A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FEEA-3E29-45DB-807D-7FF3C4A98169}">
  <dimension ref="A1:L47"/>
  <sheetViews>
    <sheetView workbookViewId="0">
      <selection activeCell="C20" sqref="C20"/>
    </sheetView>
  </sheetViews>
  <sheetFormatPr defaultRowHeight="14.4" x14ac:dyDescent="0.3"/>
  <cols>
    <col min="2" max="2" width="24.109375" customWidth="1"/>
    <col min="3" max="3" width="26.109375" customWidth="1"/>
    <col min="4" max="4" width="25.33203125" bestFit="1" customWidth="1"/>
    <col min="5" max="5" width="10.109375" bestFit="1" customWidth="1"/>
    <col min="8" max="8" width="12" bestFit="1" customWidth="1"/>
    <col min="9" max="9" width="14.88671875" bestFit="1" customWidth="1"/>
    <col min="10" max="10" width="13.109375" bestFit="1" customWidth="1"/>
    <col min="11" max="11" width="18.88671875" bestFit="1" customWidth="1"/>
  </cols>
  <sheetData>
    <row r="1" spans="1:11" ht="21" x14ac:dyDescent="0.4">
      <c r="A1" s="425" t="s">
        <v>1143</v>
      </c>
    </row>
    <row r="2" spans="1:11" x14ac:dyDescent="0.3">
      <c r="A2" s="125" t="s">
        <v>0</v>
      </c>
      <c r="B2" s="125" t="s">
        <v>2</v>
      </c>
      <c r="C2" s="125" t="s">
        <v>6</v>
      </c>
      <c r="D2" s="125" t="s">
        <v>1144</v>
      </c>
      <c r="E2" s="125" t="s">
        <v>35</v>
      </c>
      <c r="F2" s="125" t="s">
        <v>1145</v>
      </c>
      <c r="G2" s="125" t="s">
        <v>1146</v>
      </c>
      <c r="H2" s="125" t="s">
        <v>1147</v>
      </c>
      <c r="I2" s="125" t="s">
        <v>1148</v>
      </c>
      <c r="J2" s="125" t="s">
        <v>1149</v>
      </c>
      <c r="K2" s="125" t="s">
        <v>1150</v>
      </c>
    </row>
    <row r="3" spans="1:11" x14ac:dyDescent="0.3">
      <c r="A3" s="5">
        <v>1</v>
      </c>
      <c r="B3" s="458" t="s">
        <v>1151</v>
      </c>
      <c r="C3" s="497">
        <v>39</v>
      </c>
      <c r="D3" s="499" t="s">
        <v>1152</v>
      </c>
      <c r="E3" s="458">
        <v>1.98</v>
      </c>
      <c r="F3" s="458" t="s">
        <v>1153</v>
      </c>
      <c r="G3" s="497">
        <v>1073591</v>
      </c>
      <c r="H3" s="458">
        <v>0</v>
      </c>
      <c r="I3" s="428"/>
      <c r="J3" s="458">
        <f t="shared" ref="J3:J16" si="0">E3-H3</f>
        <v>1.98</v>
      </c>
      <c r="K3" s="2"/>
    </row>
    <row r="4" spans="1:11" x14ac:dyDescent="0.3">
      <c r="A4" s="5">
        <v>2</v>
      </c>
      <c r="B4" s="458" t="s">
        <v>1151</v>
      </c>
      <c r="C4" s="497">
        <v>40</v>
      </c>
      <c r="D4" s="499" t="s">
        <v>1152</v>
      </c>
      <c r="E4" s="458">
        <v>28.32</v>
      </c>
      <c r="F4" s="458" t="s">
        <v>1153</v>
      </c>
      <c r="G4" s="497">
        <v>1073590</v>
      </c>
      <c r="H4" s="458">
        <v>0</v>
      </c>
      <c r="I4" s="428"/>
      <c r="J4" s="458">
        <f t="shared" si="0"/>
        <v>28.32</v>
      </c>
      <c r="K4" s="2"/>
    </row>
    <row r="5" spans="1:11" x14ac:dyDescent="0.3">
      <c r="A5" s="5">
        <v>3</v>
      </c>
      <c r="B5" s="458" t="s">
        <v>1154</v>
      </c>
      <c r="C5" s="497">
        <v>87</v>
      </c>
      <c r="D5" s="499" t="s">
        <v>1155</v>
      </c>
      <c r="E5" s="458">
        <v>22.34</v>
      </c>
      <c r="F5" s="458" t="s">
        <v>1153</v>
      </c>
      <c r="G5" s="497">
        <v>1074412</v>
      </c>
      <c r="H5" s="458">
        <v>0</v>
      </c>
      <c r="I5" s="428"/>
      <c r="J5" s="458">
        <f t="shared" si="0"/>
        <v>22.34</v>
      </c>
      <c r="K5" s="2"/>
    </row>
    <row r="6" spans="1:11" x14ac:dyDescent="0.3">
      <c r="A6" s="5">
        <v>4</v>
      </c>
      <c r="B6" s="458" t="s">
        <v>1154</v>
      </c>
      <c r="C6" s="497">
        <v>88</v>
      </c>
      <c r="D6" s="499" t="s">
        <v>1155</v>
      </c>
      <c r="E6" s="458">
        <v>245</v>
      </c>
      <c r="F6" s="458" t="s">
        <v>1153</v>
      </c>
      <c r="G6" s="497">
        <v>1074409</v>
      </c>
      <c r="H6" s="458">
        <v>237.39</v>
      </c>
      <c r="I6" s="428"/>
      <c r="J6" s="458">
        <f t="shared" si="0"/>
        <v>7.6100000000000136</v>
      </c>
      <c r="K6" s="2"/>
    </row>
    <row r="7" spans="1:11" x14ac:dyDescent="0.3">
      <c r="A7" s="5">
        <v>5</v>
      </c>
      <c r="B7" s="458" t="s">
        <v>1154</v>
      </c>
      <c r="C7" s="497">
        <v>89</v>
      </c>
      <c r="D7" s="499" t="s">
        <v>1155</v>
      </c>
      <c r="E7" s="458">
        <v>245</v>
      </c>
      <c r="F7" s="458" t="s">
        <v>1153</v>
      </c>
      <c r="G7" s="497">
        <v>1074411</v>
      </c>
      <c r="H7" s="458">
        <v>163.25</v>
      </c>
      <c r="I7" s="428"/>
      <c r="J7" s="458">
        <f t="shared" si="0"/>
        <v>81.75</v>
      </c>
      <c r="K7" s="2"/>
    </row>
    <row r="8" spans="1:11" x14ac:dyDescent="0.3">
      <c r="A8" s="5">
        <v>6</v>
      </c>
      <c r="B8" s="458" t="s">
        <v>1154</v>
      </c>
      <c r="C8" s="497">
        <v>90</v>
      </c>
      <c r="D8" s="499" t="s">
        <v>1155</v>
      </c>
      <c r="E8" s="458">
        <v>245</v>
      </c>
      <c r="F8" s="458" t="s">
        <v>1153</v>
      </c>
      <c r="G8" s="497"/>
      <c r="H8" s="458">
        <v>0</v>
      </c>
      <c r="I8" s="428"/>
      <c r="J8" s="458">
        <f t="shared" si="0"/>
        <v>245</v>
      </c>
      <c r="K8" s="2"/>
    </row>
    <row r="9" spans="1:11" x14ac:dyDescent="0.3">
      <c r="A9" s="5">
        <v>7</v>
      </c>
      <c r="B9" s="458" t="s">
        <v>1156</v>
      </c>
      <c r="C9" s="458" t="s">
        <v>1157</v>
      </c>
      <c r="D9" s="499" t="s">
        <v>1158</v>
      </c>
      <c r="E9" s="458">
        <v>7.56</v>
      </c>
      <c r="F9" s="458" t="s">
        <v>1153</v>
      </c>
      <c r="G9" s="497">
        <v>1074443</v>
      </c>
      <c r="H9" s="458">
        <v>0</v>
      </c>
      <c r="I9" s="428"/>
      <c r="J9" s="458">
        <f t="shared" si="0"/>
        <v>7.56</v>
      </c>
      <c r="K9" s="428"/>
    </row>
    <row r="10" spans="1:11" x14ac:dyDescent="0.3">
      <c r="A10" s="5">
        <v>8</v>
      </c>
      <c r="B10" s="458" t="s">
        <v>1159</v>
      </c>
      <c r="C10" s="458" t="s">
        <v>1160</v>
      </c>
      <c r="D10" s="499" t="s">
        <v>1158</v>
      </c>
      <c r="E10" s="458">
        <v>38.72</v>
      </c>
      <c r="F10" s="458" t="s">
        <v>1153</v>
      </c>
      <c r="G10" s="497">
        <v>1074438</v>
      </c>
      <c r="H10" s="458">
        <v>0</v>
      </c>
      <c r="I10" s="2"/>
      <c r="J10" s="458">
        <f t="shared" si="0"/>
        <v>38.72</v>
      </c>
      <c r="K10" s="2"/>
    </row>
    <row r="11" spans="1:11" x14ac:dyDescent="0.3">
      <c r="A11" s="5">
        <v>9</v>
      </c>
      <c r="B11" s="458" t="s">
        <v>1161</v>
      </c>
      <c r="C11" s="458" t="s">
        <v>1162</v>
      </c>
      <c r="D11" s="499" t="s">
        <v>1163</v>
      </c>
      <c r="E11" s="458">
        <v>250</v>
      </c>
      <c r="F11" s="458" t="s">
        <v>1153</v>
      </c>
      <c r="G11" s="497">
        <v>1075141</v>
      </c>
      <c r="H11" s="458">
        <v>0</v>
      </c>
      <c r="I11" s="2"/>
      <c r="J11" s="458">
        <f t="shared" si="0"/>
        <v>250</v>
      </c>
      <c r="K11" s="2"/>
    </row>
    <row r="12" spans="1:11" x14ac:dyDescent="0.3">
      <c r="A12" s="5">
        <v>10</v>
      </c>
      <c r="B12" s="458" t="s">
        <v>1161</v>
      </c>
      <c r="C12" s="458" t="s">
        <v>1164</v>
      </c>
      <c r="D12" s="499" t="s">
        <v>1163</v>
      </c>
      <c r="E12" s="458">
        <v>250</v>
      </c>
      <c r="F12" s="458" t="s">
        <v>1153</v>
      </c>
      <c r="G12" s="497">
        <v>1075142</v>
      </c>
      <c r="H12" s="458">
        <v>0</v>
      </c>
      <c r="I12" s="2"/>
      <c r="J12" s="458">
        <f t="shared" si="0"/>
        <v>250</v>
      </c>
      <c r="K12" s="2"/>
    </row>
    <row r="13" spans="1:11" x14ac:dyDescent="0.3">
      <c r="A13" s="5">
        <v>11</v>
      </c>
      <c r="B13" s="458" t="s">
        <v>1165</v>
      </c>
      <c r="C13" s="458" t="s">
        <v>1166</v>
      </c>
      <c r="D13" s="499" t="s">
        <v>1163</v>
      </c>
      <c r="E13" s="458">
        <v>250</v>
      </c>
      <c r="F13" s="458" t="s">
        <v>1153</v>
      </c>
      <c r="G13" s="507"/>
      <c r="H13" s="458">
        <v>0</v>
      </c>
      <c r="I13" s="2"/>
      <c r="J13" s="458">
        <f t="shared" si="0"/>
        <v>250</v>
      </c>
      <c r="K13" s="2"/>
    </row>
    <row r="14" spans="1:11" x14ac:dyDescent="0.3">
      <c r="A14" s="5">
        <v>12</v>
      </c>
      <c r="B14" s="458" t="s">
        <v>1165</v>
      </c>
      <c r="C14" s="458" t="s">
        <v>1167</v>
      </c>
      <c r="D14" s="499" t="s">
        <v>1163</v>
      </c>
      <c r="E14" s="458">
        <v>250</v>
      </c>
      <c r="F14" s="458" t="s">
        <v>1153</v>
      </c>
      <c r="G14" s="507"/>
      <c r="H14" s="458">
        <v>0</v>
      </c>
      <c r="I14" s="2"/>
      <c r="J14" s="458">
        <f t="shared" si="0"/>
        <v>250</v>
      </c>
      <c r="K14" s="2"/>
    </row>
    <row r="15" spans="1:11" x14ac:dyDescent="0.3">
      <c r="A15" s="5">
        <v>13</v>
      </c>
      <c r="B15" s="500" t="s">
        <v>1168</v>
      </c>
      <c r="C15" s="497">
        <v>15</v>
      </c>
      <c r="D15" s="499" t="s">
        <v>1169</v>
      </c>
      <c r="E15" s="458">
        <v>250</v>
      </c>
      <c r="F15" s="458" t="s">
        <v>1153</v>
      </c>
      <c r="G15" s="497"/>
      <c r="H15" s="458">
        <v>0</v>
      </c>
      <c r="I15" s="2"/>
      <c r="J15" s="458">
        <f t="shared" si="0"/>
        <v>250</v>
      </c>
      <c r="K15" s="2"/>
    </row>
    <row r="16" spans="1:11" x14ac:dyDescent="0.3">
      <c r="A16" s="5">
        <v>14</v>
      </c>
      <c r="B16" s="500" t="s">
        <v>1168</v>
      </c>
      <c r="C16" s="497">
        <v>16</v>
      </c>
      <c r="D16" s="499" t="s">
        <v>1169</v>
      </c>
      <c r="E16" s="458">
        <v>250.983</v>
      </c>
      <c r="F16" s="458" t="s">
        <v>1153</v>
      </c>
      <c r="G16" s="497"/>
      <c r="H16" s="458">
        <v>0</v>
      </c>
      <c r="I16" s="2"/>
      <c r="J16" s="458">
        <f t="shared" si="0"/>
        <v>250.983</v>
      </c>
      <c r="K16" s="2"/>
    </row>
    <row r="17" spans="1:12" x14ac:dyDescent="0.3">
      <c r="A17" s="167" t="s">
        <v>1170</v>
      </c>
      <c r="B17" s="455"/>
      <c r="C17" s="460"/>
      <c r="D17" s="459"/>
      <c r="E17" s="486">
        <f>SUM(E3:E16)</f>
        <v>2334.9030000000002</v>
      </c>
      <c r="F17" s="461"/>
      <c r="I17" s="167" t="s">
        <v>1171</v>
      </c>
      <c r="J17" s="477">
        <f>SUM(J3:J16)</f>
        <v>1934.2629999999999</v>
      </c>
    </row>
    <row r="18" spans="1:12" x14ac:dyDescent="0.3">
      <c r="A18" s="1" t="s">
        <v>0</v>
      </c>
      <c r="B18" s="480" t="s">
        <v>2</v>
      </c>
      <c r="C18" s="472" t="s">
        <v>1</v>
      </c>
      <c r="D18" s="478" t="s">
        <v>1144</v>
      </c>
      <c r="E18" s="472" t="s">
        <v>35</v>
      </c>
      <c r="F18" s="481"/>
      <c r="G18" s="1"/>
      <c r="H18" s="1"/>
      <c r="I18" s="1"/>
      <c r="J18" s="479" t="s">
        <v>35</v>
      </c>
      <c r="K18" s="1" t="s">
        <v>1172</v>
      </c>
    </row>
    <row r="19" spans="1:12" x14ac:dyDescent="0.3">
      <c r="A19" s="5">
        <v>1</v>
      </c>
      <c r="B19" s="8" t="s">
        <v>1173</v>
      </c>
      <c r="C19" s="20" t="s">
        <v>1174</v>
      </c>
      <c r="D19" s="506" t="s">
        <v>1175</v>
      </c>
      <c r="E19" s="20">
        <v>500</v>
      </c>
      <c r="F19" s="456"/>
      <c r="G19" s="2"/>
      <c r="H19" s="2"/>
      <c r="I19" s="2"/>
      <c r="J19" s="458"/>
      <c r="K19" s="2" t="s">
        <v>1176</v>
      </c>
    </row>
    <row r="20" spans="1:12" x14ac:dyDescent="0.3">
      <c r="A20" s="5">
        <v>2</v>
      </c>
      <c r="B20" s="8" t="s">
        <v>1177</v>
      </c>
      <c r="C20" s="20" t="s">
        <v>1178</v>
      </c>
      <c r="D20" s="514" t="s">
        <v>1179</v>
      </c>
      <c r="E20" s="20"/>
      <c r="F20" s="456"/>
      <c r="G20" s="2"/>
      <c r="H20" s="2"/>
      <c r="I20" s="2"/>
      <c r="J20" s="458"/>
      <c r="K20" s="2" t="s">
        <v>1180</v>
      </c>
    </row>
    <row r="21" spans="1:12" x14ac:dyDescent="0.3">
      <c r="A21" s="5"/>
      <c r="B21" s="8"/>
      <c r="C21" s="464"/>
      <c r="D21" s="485" t="s">
        <v>1181</v>
      </c>
      <c r="E21" s="91">
        <f>SUM(E19:E19)</f>
        <v>500</v>
      </c>
      <c r="F21" s="456"/>
      <c r="G21" s="2"/>
      <c r="H21" s="2"/>
      <c r="I21" s="2"/>
      <c r="J21" s="458"/>
      <c r="K21" s="2"/>
    </row>
    <row r="22" spans="1:12" ht="21" x14ac:dyDescent="0.4">
      <c r="A22" s="425" t="s">
        <v>1182</v>
      </c>
    </row>
    <row r="23" spans="1:12" x14ac:dyDescent="0.3">
      <c r="A23" s="1" t="s">
        <v>0</v>
      </c>
      <c r="B23" s="1" t="s">
        <v>2</v>
      </c>
      <c r="C23" s="1" t="s">
        <v>6</v>
      </c>
      <c r="D23" s="1" t="s">
        <v>1144</v>
      </c>
      <c r="E23" s="1" t="s">
        <v>35</v>
      </c>
      <c r="F23" s="1" t="s">
        <v>1145</v>
      </c>
      <c r="G23" s="1" t="s">
        <v>1146</v>
      </c>
      <c r="H23" s="1" t="s">
        <v>1147</v>
      </c>
      <c r="I23" s="1" t="s">
        <v>1148</v>
      </c>
      <c r="J23" s="1" t="s">
        <v>1149</v>
      </c>
      <c r="K23" s="1" t="s">
        <v>1150</v>
      </c>
      <c r="L23" s="474" t="s">
        <v>1183</v>
      </c>
    </row>
    <row r="24" spans="1:12" x14ac:dyDescent="0.3">
      <c r="A24" s="5">
        <v>1</v>
      </c>
      <c r="B24" s="428" t="s">
        <v>1184</v>
      </c>
      <c r="C24" s="431">
        <v>45</v>
      </c>
      <c r="D24" s="426" t="s">
        <v>1185</v>
      </c>
      <c r="E24" s="429">
        <v>15.11</v>
      </c>
      <c r="F24" s="427" t="s">
        <v>1186</v>
      </c>
      <c r="G24" s="457">
        <v>1069622</v>
      </c>
      <c r="H24" s="2"/>
      <c r="I24" s="2"/>
      <c r="J24" s="325">
        <f>E24-H24</f>
        <v>15.11</v>
      </c>
      <c r="K24" s="2"/>
      <c r="L24" s="475" t="s">
        <v>1187</v>
      </c>
    </row>
    <row r="25" spans="1:12" x14ac:dyDescent="0.3">
      <c r="A25" s="5">
        <v>2</v>
      </c>
      <c r="B25" s="428" t="s">
        <v>1184</v>
      </c>
      <c r="C25" s="431">
        <v>46</v>
      </c>
      <c r="D25" s="426" t="s">
        <v>1185</v>
      </c>
      <c r="E25" s="429">
        <v>250</v>
      </c>
      <c r="F25" s="427" t="s">
        <v>1186</v>
      </c>
      <c r="G25" s="2"/>
      <c r="H25" s="2"/>
      <c r="I25" s="2"/>
      <c r="J25" s="325">
        <f>E25-H25</f>
        <v>250</v>
      </c>
      <c r="K25" s="2"/>
      <c r="L25" s="475" t="s">
        <v>1187</v>
      </c>
    </row>
    <row r="26" spans="1:12" x14ac:dyDescent="0.3">
      <c r="A26" s="5">
        <v>3</v>
      </c>
      <c r="B26" s="2"/>
      <c r="C26" s="465">
        <v>41</v>
      </c>
      <c r="D26" s="466" t="s">
        <v>1188</v>
      </c>
      <c r="E26" s="5">
        <v>250</v>
      </c>
      <c r="F26" s="427" t="s">
        <v>1186</v>
      </c>
      <c r="G26" s="2"/>
      <c r="H26" s="2"/>
      <c r="I26" s="2"/>
      <c r="J26" s="325">
        <f>E26-H26</f>
        <v>250</v>
      </c>
      <c r="K26" s="2"/>
    </row>
    <row r="27" spans="1:12" x14ac:dyDescent="0.3">
      <c r="A27" s="5">
        <v>4</v>
      </c>
      <c r="B27" s="2"/>
      <c r="C27" s="465">
        <v>42</v>
      </c>
      <c r="D27" s="466" t="s">
        <v>1188</v>
      </c>
      <c r="E27" s="5">
        <v>250</v>
      </c>
      <c r="F27" s="427" t="s">
        <v>1186</v>
      </c>
      <c r="G27" s="2"/>
      <c r="H27" s="2"/>
      <c r="I27" s="2"/>
      <c r="J27" s="325">
        <f>E27-H27</f>
        <v>250</v>
      </c>
      <c r="K27" s="2"/>
      <c r="L27" t="s">
        <v>1189</v>
      </c>
    </row>
    <row r="28" spans="1:12" x14ac:dyDescent="0.3">
      <c r="A28" s="2"/>
      <c r="B28" s="2"/>
      <c r="C28" s="2"/>
      <c r="D28" s="2"/>
      <c r="E28" s="2"/>
      <c r="F28" s="2"/>
      <c r="G28" s="2"/>
      <c r="H28" s="2"/>
      <c r="I28" s="2" t="s">
        <v>1171</v>
      </c>
      <c r="J28" s="325">
        <f>SUM(J24:J27)</f>
        <v>765.11</v>
      </c>
      <c r="K28" s="2"/>
    </row>
    <row r="29" spans="1:12" x14ac:dyDescent="0.3">
      <c r="A29" s="167" t="s">
        <v>1170</v>
      </c>
      <c r="J29" s="476"/>
    </row>
    <row r="30" spans="1:12" x14ac:dyDescent="0.3">
      <c r="A30" s="1" t="s">
        <v>0</v>
      </c>
      <c r="B30" s="480" t="s">
        <v>2</v>
      </c>
      <c r="C30" s="472" t="s">
        <v>1</v>
      </c>
      <c r="D30" s="478" t="s">
        <v>1144</v>
      </c>
      <c r="E30" s="472" t="s">
        <v>35</v>
      </c>
      <c r="F30" s="481"/>
      <c r="G30" s="1"/>
      <c r="H30" s="1"/>
      <c r="I30" s="1"/>
      <c r="J30" s="479" t="s">
        <v>35</v>
      </c>
      <c r="K30" s="1" t="s">
        <v>1172</v>
      </c>
    </row>
    <row r="31" spans="1:12" x14ac:dyDescent="0.3">
      <c r="A31" s="167"/>
      <c r="B31" s="482"/>
      <c r="C31" s="483"/>
      <c r="D31" s="459"/>
      <c r="E31" s="483"/>
      <c r="F31" s="484"/>
      <c r="G31" s="167"/>
      <c r="H31" s="167"/>
      <c r="I31" s="167"/>
      <c r="J31" s="477"/>
      <c r="K31" s="167"/>
    </row>
    <row r="32" spans="1:12" x14ac:dyDescent="0.3">
      <c r="C32" s="49"/>
      <c r="J32" s="476"/>
    </row>
    <row r="33" spans="1:11" ht="21" x14ac:dyDescent="0.4">
      <c r="A33" s="467" t="s">
        <v>1190</v>
      </c>
    </row>
    <row r="34" spans="1:11" x14ac:dyDescent="0.3">
      <c r="A34" s="468" t="s">
        <v>0</v>
      </c>
      <c r="B34" s="468" t="s">
        <v>2</v>
      </c>
      <c r="C34" s="468" t="s">
        <v>6</v>
      </c>
      <c r="D34" s="468" t="s">
        <v>1144</v>
      </c>
      <c r="E34" s="468" t="s">
        <v>35</v>
      </c>
      <c r="F34" s="468" t="s">
        <v>1145</v>
      </c>
      <c r="G34" s="468" t="s">
        <v>1146</v>
      </c>
      <c r="H34" s="468" t="s">
        <v>1147</v>
      </c>
      <c r="I34" s="468" t="s">
        <v>1148</v>
      </c>
      <c r="J34" s="468" t="s">
        <v>1149</v>
      </c>
      <c r="K34" s="468" t="s">
        <v>1150</v>
      </c>
    </row>
    <row r="35" spans="1:11" x14ac:dyDescent="0.3">
      <c r="A35" s="5">
        <v>1</v>
      </c>
      <c r="B35" s="462" t="s">
        <v>1191</v>
      </c>
      <c r="C35" s="463" t="s">
        <v>1192</v>
      </c>
      <c r="D35" s="469" t="s">
        <v>1193</v>
      </c>
      <c r="E35" s="458">
        <v>4.91</v>
      </c>
      <c r="F35" s="456" t="s">
        <v>1194</v>
      </c>
      <c r="G35" s="457">
        <v>1073752</v>
      </c>
      <c r="H35" s="2"/>
      <c r="I35" s="2"/>
      <c r="J35" s="2">
        <f>E35-H35</f>
        <v>4.91</v>
      </c>
      <c r="K35" s="2"/>
    </row>
    <row r="36" spans="1:11" x14ac:dyDescent="0.3">
      <c r="A36" s="5">
        <v>2</v>
      </c>
      <c r="B36" s="462" t="s">
        <v>1191</v>
      </c>
      <c r="C36" s="463" t="s">
        <v>1195</v>
      </c>
      <c r="D36" s="469" t="s">
        <v>1193</v>
      </c>
      <c r="E36" s="458">
        <v>14.17</v>
      </c>
      <c r="F36" s="456" t="s">
        <v>1194</v>
      </c>
      <c r="G36" s="457">
        <v>1073787</v>
      </c>
      <c r="H36" s="2"/>
      <c r="I36" s="2"/>
      <c r="J36" s="2">
        <f>E36-H36</f>
        <v>14.17</v>
      </c>
      <c r="K36" s="2"/>
    </row>
    <row r="37" spans="1:11" x14ac:dyDescent="0.3">
      <c r="A37" s="5">
        <v>3</v>
      </c>
      <c r="B37" s="462" t="s">
        <v>1191</v>
      </c>
      <c r="C37" s="463" t="s">
        <v>1196</v>
      </c>
      <c r="D37" s="469" t="s">
        <v>1193</v>
      </c>
      <c r="E37" s="458">
        <v>195.85</v>
      </c>
      <c r="F37" s="456" t="s">
        <v>1194</v>
      </c>
      <c r="G37" s="457">
        <v>1073754</v>
      </c>
      <c r="H37" s="2"/>
      <c r="I37" s="2"/>
      <c r="J37" s="2">
        <f>E37-H37</f>
        <v>195.85</v>
      </c>
      <c r="K37" s="2"/>
    </row>
    <row r="38" spans="1:11" x14ac:dyDescent="0.3">
      <c r="A38" s="5">
        <v>4</v>
      </c>
      <c r="B38" s="462" t="s">
        <v>1191</v>
      </c>
      <c r="C38" s="463" t="s">
        <v>1197</v>
      </c>
      <c r="D38" s="469" t="s">
        <v>1193</v>
      </c>
      <c r="E38" s="458">
        <v>252.65</v>
      </c>
      <c r="F38" s="456" t="s">
        <v>1194</v>
      </c>
      <c r="G38" s="2"/>
      <c r="H38" s="2"/>
      <c r="I38" s="2"/>
      <c r="J38" s="2">
        <f>E38-H38</f>
        <v>252.65</v>
      </c>
      <c r="K38" s="2"/>
    </row>
    <row r="39" spans="1:11" x14ac:dyDescent="0.3">
      <c r="A39" s="2"/>
      <c r="B39" s="2"/>
      <c r="C39" s="2"/>
      <c r="D39" s="2"/>
      <c r="E39" s="2"/>
      <c r="F39" s="2"/>
      <c r="G39" s="2"/>
      <c r="H39" s="2"/>
      <c r="I39" s="2"/>
      <c r="J39" s="2">
        <f>SUM(J35:J38)</f>
        <v>467.58000000000004</v>
      </c>
      <c r="K39" s="2"/>
    </row>
    <row r="40" spans="1:11" x14ac:dyDescent="0.3">
      <c r="A40" s="505" t="s">
        <v>1198</v>
      </c>
    </row>
    <row r="41" spans="1:11" x14ac:dyDescent="0.3">
      <c r="A41" s="1" t="s">
        <v>1145</v>
      </c>
      <c r="B41" s="480" t="s">
        <v>1199</v>
      </c>
      <c r="C41" s="457" t="s">
        <v>1200</v>
      </c>
      <c r="D41" s="501" t="s">
        <v>1201</v>
      </c>
    </row>
    <row r="42" spans="1:11" x14ac:dyDescent="0.3">
      <c r="A42" s="177" t="s">
        <v>1153</v>
      </c>
      <c r="B42" s="502" t="s">
        <v>1202</v>
      </c>
      <c r="C42" s="503">
        <v>3000</v>
      </c>
      <c r="D42" s="1" t="s">
        <v>1203</v>
      </c>
    </row>
    <row r="43" spans="1:11" x14ac:dyDescent="0.3">
      <c r="A43" s="177" t="s">
        <v>1204</v>
      </c>
      <c r="B43" s="502" t="s">
        <v>1205</v>
      </c>
      <c r="C43" s="504">
        <v>1000</v>
      </c>
      <c r="D43" s="1" t="s">
        <v>1203</v>
      </c>
    </row>
    <row r="44" spans="1:11" x14ac:dyDescent="0.3">
      <c r="A44" s="1" t="s">
        <v>1206</v>
      </c>
      <c r="B44" s="502" t="s">
        <v>1205</v>
      </c>
      <c r="C44" s="504">
        <v>1000</v>
      </c>
      <c r="D44" s="1" t="s">
        <v>1203</v>
      </c>
    </row>
    <row r="45" spans="1:11" x14ac:dyDescent="0.3">
      <c r="A45" s="1" t="s">
        <v>1186</v>
      </c>
      <c r="B45" s="502" t="s">
        <v>1202</v>
      </c>
      <c r="C45" s="504">
        <v>1500</v>
      </c>
      <c r="D45" s="1" t="s">
        <v>1203</v>
      </c>
    </row>
    <row r="46" spans="1:11" x14ac:dyDescent="0.3">
      <c r="A46" s="1" t="s">
        <v>1207</v>
      </c>
      <c r="B46" s="502" t="s">
        <v>1208</v>
      </c>
      <c r="C46" s="504"/>
      <c r="D46" s="1" t="s">
        <v>1190</v>
      </c>
    </row>
    <row r="47" spans="1:11" x14ac:dyDescent="0.3">
      <c r="A47" s="1" t="s">
        <v>1194</v>
      </c>
      <c r="B47" s="502" t="s">
        <v>1208</v>
      </c>
      <c r="C47" s="504"/>
      <c r="D47" s="1" t="s">
        <v>1190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V17"/>
  <sheetViews>
    <sheetView zoomScale="78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15" sqref="B15:T15"/>
    </sheetView>
  </sheetViews>
  <sheetFormatPr defaultRowHeight="14.4" x14ac:dyDescent="0.3"/>
  <cols>
    <col min="1" max="1" width="5.44140625" bestFit="1" customWidth="1"/>
    <col min="2" max="2" width="28.6640625" customWidth="1"/>
    <col min="3" max="3" width="17.33203125" bestFit="1" customWidth="1"/>
    <col min="4" max="4" width="10.6640625" customWidth="1"/>
    <col min="5" max="5" width="15.88671875" bestFit="1" customWidth="1"/>
    <col min="6" max="6" width="12.6640625" customWidth="1"/>
    <col min="7" max="7" width="21.21875" customWidth="1"/>
    <col min="8" max="8" width="11.33203125" bestFit="1" customWidth="1"/>
    <col min="9" max="9" width="19.5546875" bestFit="1" customWidth="1"/>
    <col min="10" max="10" width="19.6640625" bestFit="1" customWidth="1"/>
    <col min="11" max="11" width="11.5546875" bestFit="1" customWidth="1"/>
    <col min="12" max="12" width="9" customWidth="1"/>
    <col min="13" max="13" width="10.21875" customWidth="1"/>
    <col min="14" max="14" width="11.33203125" bestFit="1" customWidth="1"/>
    <col min="15" max="15" width="13.44140625" bestFit="1" customWidth="1"/>
    <col min="16" max="16" width="9.88671875" customWidth="1"/>
    <col min="17" max="17" width="8.109375" bestFit="1" customWidth="1"/>
    <col min="18" max="18" width="16.44140625" customWidth="1"/>
    <col min="19" max="19" width="18.109375" bestFit="1" customWidth="1"/>
    <col min="20" max="20" width="13.5546875" bestFit="1" customWidth="1"/>
    <col min="21" max="21" width="10" customWidth="1"/>
    <col min="23" max="23" width="10" bestFit="1" customWidth="1"/>
  </cols>
  <sheetData>
    <row r="1" spans="1:22" ht="23.4" x14ac:dyDescent="0.45">
      <c r="A1" s="600" t="s">
        <v>1209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77"/>
    </row>
    <row r="2" spans="1:22" ht="28.8" x14ac:dyDescent="0.3">
      <c r="A2" s="1" t="s">
        <v>0</v>
      </c>
      <c r="B2" s="1" t="s">
        <v>1</v>
      </c>
      <c r="C2" s="1" t="s">
        <v>2</v>
      </c>
      <c r="D2" s="1" t="s">
        <v>1210</v>
      </c>
      <c r="E2" s="1" t="s">
        <v>1211</v>
      </c>
      <c r="F2" s="1" t="s">
        <v>1212</v>
      </c>
      <c r="G2" s="1" t="s">
        <v>6</v>
      </c>
      <c r="H2" s="1" t="s">
        <v>1213</v>
      </c>
      <c r="I2" s="1" t="s">
        <v>1214</v>
      </c>
      <c r="J2" s="1" t="s">
        <v>9</v>
      </c>
      <c r="K2" s="1" t="s">
        <v>10</v>
      </c>
      <c r="L2" s="1" t="s">
        <v>1215</v>
      </c>
      <c r="M2" s="1" t="s">
        <v>11</v>
      </c>
      <c r="N2" s="1" t="s">
        <v>1216</v>
      </c>
      <c r="O2" s="1" t="s">
        <v>1217</v>
      </c>
      <c r="P2" s="1" t="s">
        <v>12</v>
      </c>
      <c r="Q2" s="528" t="s">
        <v>5213</v>
      </c>
      <c r="R2" s="528" t="s">
        <v>5212</v>
      </c>
      <c r="S2" s="1" t="s">
        <v>1218</v>
      </c>
      <c r="T2" s="1" t="s">
        <v>5214</v>
      </c>
    </row>
    <row r="3" spans="1:22" ht="43.2" x14ac:dyDescent="0.3">
      <c r="A3" s="1">
        <v>1</v>
      </c>
      <c r="B3" s="27" t="s">
        <v>157</v>
      </c>
      <c r="C3" s="579" t="s">
        <v>6224</v>
      </c>
      <c r="D3" s="2" t="s">
        <v>6180</v>
      </c>
      <c r="E3" s="19">
        <v>26061704</v>
      </c>
      <c r="F3" s="2" t="s">
        <v>1702</v>
      </c>
      <c r="G3" s="266" t="s">
        <v>6302</v>
      </c>
      <c r="H3" s="2" t="s">
        <v>6113</v>
      </c>
      <c r="I3" s="2" t="s">
        <v>1702</v>
      </c>
      <c r="J3" s="2" t="s">
        <v>4506</v>
      </c>
      <c r="K3" s="5">
        <v>486.38</v>
      </c>
      <c r="L3" s="44">
        <v>585</v>
      </c>
      <c r="M3" s="5">
        <v>20</v>
      </c>
      <c r="N3" s="5">
        <v>20</v>
      </c>
      <c r="O3" s="2" t="s">
        <v>6406</v>
      </c>
      <c r="P3" s="2" t="s">
        <v>6414</v>
      </c>
      <c r="Q3" s="2">
        <v>14</v>
      </c>
      <c r="R3" s="2" t="s">
        <v>6407</v>
      </c>
      <c r="S3" s="2"/>
      <c r="T3" s="174" t="s">
        <v>6397</v>
      </c>
      <c r="U3" s="18" t="s">
        <v>6412</v>
      </c>
      <c r="V3" s="18" t="s">
        <v>6389</v>
      </c>
    </row>
    <row r="4" spans="1:22" ht="28.8" x14ac:dyDescent="0.3">
      <c r="A4" s="1">
        <v>2</v>
      </c>
      <c r="B4" s="27" t="s">
        <v>157</v>
      </c>
      <c r="C4" s="2" t="s">
        <v>6124</v>
      </c>
      <c r="D4" s="2" t="s">
        <v>5990</v>
      </c>
      <c r="E4" s="19">
        <v>26013102</v>
      </c>
      <c r="F4" s="2" t="s">
        <v>1904</v>
      </c>
      <c r="G4" s="470">
        <v>271560680</v>
      </c>
      <c r="H4" s="2" t="s">
        <v>6107</v>
      </c>
      <c r="I4" s="2" t="s">
        <v>1904</v>
      </c>
      <c r="J4" s="2" t="s">
        <v>860</v>
      </c>
      <c r="K4" s="5">
        <v>26.003</v>
      </c>
      <c r="L4" s="44">
        <v>469</v>
      </c>
      <c r="M4" s="5" t="s">
        <v>6382</v>
      </c>
      <c r="N4" s="5">
        <v>40</v>
      </c>
      <c r="O4" s="2" t="s">
        <v>6132</v>
      </c>
      <c r="P4" s="2" t="s">
        <v>6186</v>
      </c>
      <c r="Q4" s="2"/>
      <c r="R4" s="266" t="s">
        <v>6383</v>
      </c>
      <c r="S4" s="266" t="s">
        <v>6381</v>
      </c>
      <c r="T4" s="174" t="s">
        <v>6359</v>
      </c>
      <c r="U4" t="s">
        <v>6415</v>
      </c>
      <c r="V4" t="s">
        <v>6389</v>
      </c>
    </row>
    <row r="5" spans="1:22" ht="28.8" x14ac:dyDescent="0.3">
      <c r="A5" s="1">
        <v>3</v>
      </c>
      <c r="B5" s="2" t="s">
        <v>157</v>
      </c>
      <c r="C5" s="579" t="s">
        <v>6201</v>
      </c>
      <c r="D5" s="579" t="s">
        <v>6202</v>
      </c>
      <c r="E5" s="19">
        <v>26051303</v>
      </c>
      <c r="F5" s="2" t="s">
        <v>1904</v>
      </c>
      <c r="G5" s="19">
        <v>272557521</v>
      </c>
      <c r="H5" s="2" t="s">
        <v>6179</v>
      </c>
      <c r="I5" s="2" t="s">
        <v>1904</v>
      </c>
      <c r="J5" s="2" t="s">
        <v>6163</v>
      </c>
      <c r="K5" s="5">
        <v>260.99</v>
      </c>
      <c r="L5" s="44">
        <v>617</v>
      </c>
      <c r="M5" s="5">
        <v>10</v>
      </c>
      <c r="N5" s="5">
        <v>40</v>
      </c>
      <c r="O5" s="2" t="s">
        <v>6306</v>
      </c>
      <c r="P5" s="2" t="s">
        <v>6344</v>
      </c>
      <c r="Q5" s="2">
        <v>14</v>
      </c>
      <c r="R5" s="2" t="s">
        <v>6407</v>
      </c>
      <c r="S5" s="2"/>
      <c r="T5" s="174" t="s">
        <v>6398</v>
      </c>
    </row>
    <row r="6" spans="1:22" ht="28.8" x14ac:dyDescent="0.3">
      <c r="A6" s="1">
        <v>4</v>
      </c>
      <c r="B6" s="2" t="s">
        <v>157</v>
      </c>
      <c r="C6" s="2" t="s">
        <v>6124</v>
      </c>
      <c r="D6" s="2" t="s">
        <v>5990</v>
      </c>
      <c r="E6" s="19">
        <v>26013102</v>
      </c>
      <c r="F6" s="2" t="s">
        <v>1904</v>
      </c>
      <c r="G6" s="578">
        <v>274031020</v>
      </c>
      <c r="H6" s="2" t="s">
        <v>6112</v>
      </c>
      <c r="I6" s="2" t="s">
        <v>1904</v>
      </c>
      <c r="J6" s="2" t="s">
        <v>860</v>
      </c>
      <c r="K6" s="5">
        <v>181.011</v>
      </c>
      <c r="L6" s="44">
        <v>469</v>
      </c>
      <c r="M6" s="5">
        <v>7</v>
      </c>
      <c r="N6" s="5">
        <v>40</v>
      </c>
      <c r="O6" s="2" t="s">
        <v>6306</v>
      </c>
      <c r="P6" s="2" t="s">
        <v>6344</v>
      </c>
      <c r="Q6" s="2">
        <v>14</v>
      </c>
      <c r="R6" s="2" t="s">
        <v>6215</v>
      </c>
      <c r="S6" s="2"/>
      <c r="T6" s="266" t="s">
        <v>6229</v>
      </c>
    </row>
    <row r="7" spans="1:22" ht="28.8" x14ac:dyDescent="0.3">
      <c r="A7" s="1">
        <v>5</v>
      </c>
      <c r="B7" s="373" t="s">
        <v>5425</v>
      </c>
      <c r="C7" s="2" t="s">
        <v>6250</v>
      </c>
      <c r="D7" s="2" t="s">
        <v>6251</v>
      </c>
      <c r="E7" s="373" t="s">
        <v>6252</v>
      </c>
      <c r="F7" s="2" t="s">
        <v>1904</v>
      </c>
      <c r="G7" s="19">
        <v>274146535</v>
      </c>
      <c r="H7" s="2" t="s">
        <v>6177</v>
      </c>
      <c r="I7" s="2" t="s">
        <v>1904</v>
      </c>
      <c r="J7" s="2" t="s">
        <v>6085</v>
      </c>
      <c r="K7" s="5">
        <v>512.55799999999999</v>
      </c>
      <c r="L7" s="44">
        <v>602</v>
      </c>
      <c r="M7" s="5">
        <v>23</v>
      </c>
      <c r="N7" s="5">
        <v>20</v>
      </c>
      <c r="O7" s="2" t="s">
        <v>6315</v>
      </c>
      <c r="P7" s="2" t="s">
        <v>6392</v>
      </c>
      <c r="Q7" s="2">
        <v>14</v>
      </c>
      <c r="R7" s="2" t="s">
        <v>6407</v>
      </c>
      <c r="S7" s="2"/>
      <c r="T7" s="174" t="s">
        <v>6413</v>
      </c>
    </row>
    <row r="8" spans="1:22" ht="28.8" x14ac:dyDescent="0.3">
      <c r="A8" s="1">
        <v>6</v>
      </c>
      <c r="B8" s="2" t="s">
        <v>157</v>
      </c>
      <c r="C8" s="2" t="s">
        <v>6201</v>
      </c>
      <c r="D8" s="2" t="s">
        <v>6202</v>
      </c>
      <c r="E8" s="19">
        <v>26051303</v>
      </c>
      <c r="F8" s="2" t="s">
        <v>1904</v>
      </c>
      <c r="G8" s="19">
        <v>274708921</v>
      </c>
      <c r="H8" s="2" t="s">
        <v>6187</v>
      </c>
      <c r="I8" s="2" t="s">
        <v>1904</v>
      </c>
      <c r="J8" s="2" t="s">
        <v>6163</v>
      </c>
      <c r="K8" s="5">
        <v>260.7</v>
      </c>
      <c r="L8" s="44">
        <v>617</v>
      </c>
      <c r="M8" s="5">
        <v>10</v>
      </c>
      <c r="N8" s="5">
        <v>40</v>
      </c>
      <c r="O8" s="2" t="s">
        <v>6307</v>
      </c>
      <c r="P8" s="2" t="s">
        <v>6392</v>
      </c>
      <c r="Q8" s="2">
        <v>14</v>
      </c>
      <c r="R8" s="2" t="s">
        <v>6407</v>
      </c>
      <c r="S8" s="2"/>
      <c r="T8" s="266" t="s">
        <v>6270</v>
      </c>
    </row>
    <row r="9" spans="1:22" ht="28.8" x14ac:dyDescent="0.3">
      <c r="A9" s="1">
        <v>7</v>
      </c>
      <c r="B9" s="377" t="s">
        <v>6310</v>
      </c>
      <c r="C9" s="2" t="s">
        <v>6311</v>
      </c>
      <c r="D9" s="2" t="s">
        <v>6153</v>
      </c>
      <c r="E9" s="373" t="s">
        <v>6312</v>
      </c>
      <c r="F9" s="2" t="s">
        <v>3040</v>
      </c>
      <c r="G9" s="2" t="s">
        <v>6313</v>
      </c>
      <c r="H9" s="2" t="s">
        <v>6205</v>
      </c>
      <c r="I9" s="2" t="s">
        <v>3040</v>
      </c>
      <c r="J9" s="2" t="s">
        <v>6314</v>
      </c>
      <c r="K9" s="5">
        <v>22</v>
      </c>
      <c r="L9" s="44">
        <v>31700</v>
      </c>
      <c r="M9" s="5">
        <v>1</v>
      </c>
      <c r="N9" s="5">
        <v>40</v>
      </c>
      <c r="O9" s="2" t="s">
        <v>6399</v>
      </c>
      <c r="P9" s="2" t="s">
        <v>6392</v>
      </c>
      <c r="Q9" s="2">
        <v>14</v>
      </c>
      <c r="R9" s="2" t="s">
        <v>6407</v>
      </c>
      <c r="S9" s="2"/>
      <c r="T9" s="2"/>
    </row>
    <row r="10" spans="1:22" ht="43.2" x14ac:dyDescent="0.3">
      <c r="A10" s="1">
        <v>8</v>
      </c>
      <c r="B10" s="377" t="s">
        <v>5460</v>
      </c>
      <c r="C10" s="2" t="s">
        <v>6316</v>
      </c>
      <c r="D10" s="2" t="s">
        <v>6153</v>
      </c>
      <c r="E10" s="373" t="s">
        <v>6317</v>
      </c>
      <c r="F10" s="2" t="s">
        <v>3490</v>
      </c>
      <c r="G10" s="2" t="s">
        <v>6318</v>
      </c>
      <c r="H10" s="2" t="s">
        <v>6205</v>
      </c>
      <c r="I10" s="2" t="s">
        <v>3490</v>
      </c>
      <c r="J10" s="266" t="s">
        <v>6319</v>
      </c>
      <c r="K10" s="5">
        <v>23</v>
      </c>
      <c r="L10" s="44">
        <v>44600</v>
      </c>
      <c r="M10" s="5">
        <v>1</v>
      </c>
      <c r="N10" s="5">
        <v>40</v>
      </c>
      <c r="O10" s="2" t="s">
        <v>6400</v>
      </c>
      <c r="P10" s="2" t="s">
        <v>6392</v>
      </c>
      <c r="Q10" s="2">
        <v>14</v>
      </c>
      <c r="R10" s="2" t="s">
        <v>665</v>
      </c>
      <c r="S10" s="2"/>
      <c r="T10" s="2"/>
    </row>
    <row r="11" spans="1:22" ht="28.8" x14ac:dyDescent="0.3">
      <c r="A11" s="1">
        <v>9</v>
      </c>
      <c r="B11" s="373" t="s">
        <v>6263</v>
      </c>
      <c r="C11" s="2" t="s">
        <v>6264</v>
      </c>
      <c r="D11" s="2" t="s">
        <v>6202</v>
      </c>
      <c r="E11" s="19">
        <v>72740</v>
      </c>
      <c r="F11" s="2" t="s">
        <v>1462</v>
      </c>
      <c r="G11" s="2" t="s">
        <v>6305</v>
      </c>
      <c r="H11" s="2" t="s">
        <v>6205</v>
      </c>
      <c r="I11" s="2" t="s">
        <v>1462</v>
      </c>
      <c r="J11" s="2" t="s">
        <v>2982</v>
      </c>
      <c r="K11" s="5">
        <v>310.12</v>
      </c>
      <c r="L11" s="44">
        <v>705</v>
      </c>
      <c r="M11" s="5">
        <v>16</v>
      </c>
      <c r="N11" s="5">
        <v>20</v>
      </c>
      <c r="O11" s="2" t="s">
        <v>6389</v>
      </c>
      <c r="P11" s="2" t="s">
        <v>6315</v>
      </c>
      <c r="Q11" s="2">
        <v>14</v>
      </c>
      <c r="R11" s="2" t="s">
        <v>121</v>
      </c>
      <c r="S11" s="2"/>
      <c r="T11" s="266" t="s">
        <v>6361</v>
      </c>
    </row>
    <row r="12" spans="1:22" ht="28.8" x14ac:dyDescent="0.3">
      <c r="A12" s="1">
        <v>10</v>
      </c>
      <c r="B12" s="2" t="s">
        <v>3117</v>
      </c>
      <c r="C12" s="2" t="s">
        <v>6357</v>
      </c>
      <c r="D12" s="2" t="s">
        <v>6293</v>
      </c>
      <c r="E12" s="373" t="s">
        <v>6358</v>
      </c>
      <c r="F12" s="2" t="s">
        <v>1702</v>
      </c>
      <c r="G12" s="266" t="s">
        <v>6401</v>
      </c>
      <c r="H12" s="2" t="s">
        <v>6168</v>
      </c>
      <c r="I12" s="2" t="s">
        <v>1702</v>
      </c>
      <c r="J12" s="2" t="s">
        <v>6163</v>
      </c>
      <c r="K12" s="5">
        <v>487.45</v>
      </c>
      <c r="L12" s="44">
        <v>575</v>
      </c>
      <c r="M12" s="5">
        <v>20</v>
      </c>
      <c r="N12" s="5">
        <v>20</v>
      </c>
      <c r="O12" s="2" t="s">
        <v>6344</v>
      </c>
      <c r="P12" s="2" t="s">
        <v>6320</v>
      </c>
      <c r="Q12" s="2">
        <v>14</v>
      </c>
      <c r="R12" s="2" t="s">
        <v>212</v>
      </c>
      <c r="S12" s="2"/>
      <c r="T12" s="266" t="s">
        <v>6365</v>
      </c>
    </row>
    <row r="13" spans="1:22" ht="28.8" x14ac:dyDescent="0.3">
      <c r="A13" s="1">
        <v>11</v>
      </c>
      <c r="B13" s="2" t="s">
        <v>2864</v>
      </c>
      <c r="C13" s="2" t="s">
        <v>6362</v>
      </c>
      <c r="D13" s="2" t="s">
        <v>6293</v>
      </c>
      <c r="E13" s="373" t="s">
        <v>6363</v>
      </c>
      <c r="F13" s="2" t="s">
        <v>1462</v>
      </c>
      <c r="G13" s="19">
        <v>274659478</v>
      </c>
      <c r="H13" s="2" t="s">
        <v>6304</v>
      </c>
      <c r="I13" s="2" t="s">
        <v>1462</v>
      </c>
      <c r="J13" s="2" t="s">
        <v>6402</v>
      </c>
      <c r="K13" s="5">
        <v>330.08</v>
      </c>
      <c r="L13" s="44">
        <v>727</v>
      </c>
      <c r="M13" s="5">
        <v>12</v>
      </c>
      <c r="N13" s="5">
        <v>40</v>
      </c>
      <c r="O13" s="2" t="s">
        <v>6394</v>
      </c>
      <c r="P13" s="2" t="s">
        <v>6393</v>
      </c>
      <c r="Q13" s="2">
        <v>14</v>
      </c>
      <c r="R13" s="2" t="s">
        <v>6407</v>
      </c>
      <c r="S13" s="2"/>
      <c r="T13" s="266" t="s">
        <v>6364</v>
      </c>
    </row>
    <row r="14" spans="1:22" ht="28.8" x14ac:dyDescent="0.3">
      <c r="A14" s="1">
        <v>12</v>
      </c>
      <c r="B14" s="252" t="s">
        <v>6254</v>
      </c>
      <c r="C14" s="252" t="s">
        <v>6374</v>
      </c>
      <c r="D14" s="252" t="s">
        <v>6132</v>
      </c>
      <c r="E14" s="252" t="s">
        <v>6375</v>
      </c>
      <c r="F14" s="252" t="s">
        <v>1462</v>
      </c>
      <c r="G14" s="252" t="s">
        <v>6376</v>
      </c>
      <c r="H14" s="252" t="s">
        <v>6377</v>
      </c>
      <c r="I14" s="252" t="s">
        <v>1462</v>
      </c>
      <c r="J14" s="252" t="s">
        <v>6403</v>
      </c>
      <c r="K14" s="283">
        <v>299.45999999999998</v>
      </c>
      <c r="L14" s="252">
        <v>732</v>
      </c>
      <c r="M14" s="283">
        <v>12</v>
      </c>
      <c r="N14" s="283">
        <v>40</v>
      </c>
      <c r="O14" s="252" t="s">
        <v>6378</v>
      </c>
      <c r="P14" s="252" t="s">
        <v>6320</v>
      </c>
      <c r="Q14" s="252">
        <v>14</v>
      </c>
      <c r="R14" s="252" t="s">
        <v>212</v>
      </c>
      <c r="S14" s="252"/>
      <c r="T14" s="252" t="s">
        <v>6379</v>
      </c>
    </row>
    <row r="15" spans="1:22" x14ac:dyDescent="0.3">
      <c r="A15" s="1">
        <v>13</v>
      </c>
    </row>
    <row r="16" spans="1:22" ht="28.8" x14ac:dyDescent="0.3">
      <c r="A16" s="1">
        <v>14</v>
      </c>
      <c r="B16" s="377" t="s">
        <v>6283</v>
      </c>
      <c r="C16" s="2"/>
      <c r="D16" s="2"/>
      <c r="E16" s="373" t="s">
        <v>6241</v>
      </c>
      <c r="F16" s="2" t="s">
        <v>3630</v>
      </c>
      <c r="G16" s="2"/>
      <c r="H16" s="2"/>
      <c r="I16" s="2" t="s">
        <v>6233</v>
      </c>
      <c r="J16" s="2" t="s">
        <v>860</v>
      </c>
      <c r="K16" s="5">
        <v>252</v>
      </c>
      <c r="L16" s="44">
        <v>590</v>
      </c>
      <c r="M16" s="5">
        <v>12</v>
      </c>
      <c r="N16" s="5" t="s">
        <v>6240</v>
      </c>
      <c r="O16" s="2" t="s">
        <v>6284</v>
      </c>
      <c r="P16" s="2"/>
      <c r="Q16" s="2"/>
      <c r="R16" s="2" t="s">
        <v>212</v>
      </c>
      <c r="S16" s="2"/>
      <c r="T16" s="266" t="s">
        <v>6244</v>
      </c>
    </row>
    <row r="17" spans="1:20" ht="28.8" x14ac:dyDescent="0.3">
      <c r="A17" s="1">
        <v>15</v>
      </c>
      <c r="B17" s="377" t="s">
        <v>6283</v>
      </c>
      <c r="C17" s="2"/>
      <c r="D17" s="2"/>
      <c r="E17" s="373" t="s">
        <v>6242</v>
      </c>
      <c r="F17" s="2" t="s">
        <v>3630</v>
      </c>
      <c r="G17" s="2"/>
      <c r="H17" s="2"/>
      <c r="I17" s="2" t="s">
        <v>6233</v>
      </c>
      <c r="J17" s="2" t="s">
        <v>860</v>
      </c>
      <c r="K17" s="5">
        <v>252</v>
      </c>
      <c r="L17" s="44">
        <v>590</v>
      </c>
      <c r="M17" s="5">
        <v>12</v>
      </c>
      <c r="N17" s="5" t="s">
        <v>6240</v>
      </c>
      <c r="O17" s="2" t="s">
        <v>6284</v>
      </c>
      <c r="P17" s="2"/>
      <c r="Q17" s="2"/>
      <c r="R17" s="2" t="s">
        <v>212</v>
      </c>
      <c r="S17" s="2"/>
      <c r="T17" s="266" t="s">
        <v>6243</v>
      </c>
    </row>
  </sheetData>
  <autoFilter ref="B2:R2" xr:uid="{00000000-0001-0000-0100-000000000000}">
    <sortState xmlns:xlrd2="http://schemas.microsoft.com/office/spreadsheetml/2017/richdata2" ref="B3:R6">
      <sortCondition sortBy="cellColor" ref="B2" dxfId="0"/>
    </sortState>
  </autoFilter>
  <mergeCells count="1">
    <mergeCell ref="A1:R1"/>
  </mergeCells>
  <pageMargins left="0.7" right="0.7" top="0.75" bottom="0.75" header="0.3" footer="0.3"/>
  <pageSetup paperSize="9"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B91C-3602-4C3C-9ADB-C903793D711D}">
  <dimension ref="A2:W639"/>
  <sheetViews>
    <sheetView topLeftCell="A503" workbookViewId="0">
      <selection activeCell="B639" sqref="B639"/>
    </sheetView>
  </sheetViews>
  <sheetFormatPr defaultRowHeight="14.4" x14ac:dyDescent="0.3"/>
  <cols>
    <col min="2" max="2" width="12.21875" customWidth="1"/>
    <col min="3" max="3" width="18" bestFit="1" customWidth="1"/>
    <col min="4" max="4" width="9.6640625" bestFit="1" customWidth="1"/>
    <col min="5" max="5" width="22.33203125" bestFit="1" customWidth="1"/>
    <col min="6" max="6" width="10.6640625" bestFit="1" customWidth="1"/>
    <col min="7" max="7" width="18.5546875" customWidth="1"/>
    <col min="8" max="8" width="14.109375" bestFit="1" customWidth="1"/>
    <col min="15" max="15" width="10.6640625" bestFit="1" customWidth="1"/>
    <col min="16" max="16" width="13" customWidth="1"/>
    <col min="17" max="17" width="13.33203125" customWidth="1"/>
    <col min="18" max="18" width="15.5546875" customWidth="1"/>
    <col min="19" max="19" width="10.6640625" bestFit="1" customWidth="1"/>
    <col min="20" max="20" width="16.33203125" customWidth="1"/>
    <col min="21" max="21" width="11.6640625" customWidth="1"/>
  </cols>
  <sheetData>
    <row r="2" spans="1:20" x14ac:dyDescent="0.3">
      <c r="A2" s="2" t="s">
        <v>1282</v>
      </c>
      <c r="B2" s="2" t="s">
        <v>1283</v>
      </c>
      <c r="C2" s="2" t="s">
        <v>1284</v>
      </c>
      <c r="D2" s="2" t="s">
        <v>1210</v>
      </c>
      <c r="E2" s="2" t="s">
        <v>1285</v>
      </c>
      <c r="F2" s="2" t="s">
        <v>1213</v>
      </c>
      <c r="G2" s="2" t="s">
        <v>8</v>
      </c>
      <c r="H2" s="2" t="s">
        <v>1286</v>
      </c>
      <c r="I2" s="2" t="s">
        <v>1287</v>
      </c>
      <c r="J2" s="2" t="s">
        <v>1288</v>
      </c>
      <c r="K2" s="2" t="s">
        <v>1289</v>
      </c>
      <c r="L2" s="2" t="s">
        <v>1142</v>
      </c>
      <c r="M2" s="2" t="s">
        <v>1290</v>
      </c>
      <c r="N2" s="2" t="s">
        <v>1291</v>
      </c>
      <c r="O2" s="2" t="s">
        <v>1292</v>
      </c>
      <c r="P2" s="2" t="s">
        <v>1293</v>
      </c>
      <c r="Q2" s="2" t="s">
        <v>1294</v>
      </c>
      <c r="R2" s="2" t="s">
        <v>1293</v>
      </c>
      <c r="S2" s="2" t="s">
        <v>1293</v>
      </c>
    </row>
    <row r="3" spans="1:20" x14ac:dyDescent="0.3">
      <c r="A3" t="s">
        <v>38</v>
      </c>
      <c r="B3" s="2" t="s">
        <v>891</v>
      </c>
      <c r="C3" s="2" t="s">
        <v>1295</v>
      </c>
      <c r="D3" s="19"/>
      <c r="E3" s="19">
        <v>453335</v>
      </c>
      <c r="F3" s="95">
        <v>45145</v>
      </c>
      <c r="G3" s="2" t="s">
        <v>1296</v>
      </c>
      <c r="H3" s="25" t="s">
        <v>1297</v>
      </c>
      <c r="I3" s="25">
        <v>10</v>
      </c>
      <c r="J3" s="2"/>
      <c r="K3" s="5">
        <v>1</v>
      </c>
      <c r="L3" s="2"/>
      <c r="M3" s="2" t="s">
        <v>1298</v>
      </c>
      <c r="N3" s="2" t="s">
        <v>1299</v>
      </c>
      <c r="O3" s="2"/>
      <c r="P3" s="2" t="s">
        <v>1300</v>
      </c>
      <c r="Q3" s="2"/>
      <c r="R3" s="18" t="s">
        <v>38</v>
      </c>
      <c r="S3" t="s">
        <v>1301</v>
      </c>
    </row>
    <row r="4" spans="1:20" x14ac:dyDescent="0.3">
      <c r="A4" t="s">
        <v>38</v>
      </c>
      <c r="B4" s="2" t="s">
        <v>1302</v>
      </c>
      <c r="C4" s="2" t="s">
        <v>1303</v>
      </c>
      <c r="D4" s="19"/>
      <c r="E4" s="2" t="s">
        <v>1304</v>
      </c>
      <c r="F4" s="95">
        <v>45267</v>
      </c>
      <c r="G4" s="2"/>
      <c r="H4" s="25" t="s">
        <v>865</v>
      </c>
      <c r="I4" s="2">
        <v>33</v>
      </c>
      <c r="J4" s="2"/>
      <c r="K4" s="5">
        <v>1</v>
      </c>
      <c r="L4" s="2"/>
      <c r="M4" s="95">
        <v>45267</v>
      </c>
      <c r="N4" s="2" t="s">
        <v>1305</v>
      </c>
      <c r="O4" s="2"/>
      <c r="P4" s="2" t="s">
        <v>121</v>
      </c>
      <c r="Q4" s="2"/>
      <c r="R4" t="s">
        <v>38</v>
      </c>
      <c r="S4" t="s">
        <v>1301</v>
      </c>
    </row>
    <row r="5" spans="1:20" x14ac:dyDescent="0.3">
      <c r="A5" t="s">
        <v>38</v>
      </c>
      <c r="B5" s="27" t="s">
        <v>1306</v>
      </c>
      <c r="C5" s="122" t="s">
        <v>1307</v>
      </c>
      <c r="D5" s="95">
        <v>44989</v>
      </c>
      <c r="E5" s="2" t="s">
        <v>1308</v>
      </c>
      <c r="F5" s="2" t="s">
        <v>1309</v>
      </c>
      <c r="G5" s="2" t="s">
        <v>1310</v>
      </c>
      <c r="H5" s="7" t="s">
        <v>1311</v>
      </c>
      <c r="I5" s="2">
        <v>8</v>
      </c>
      <c r="J5" s="2"/>
      <c r="K5" s="5">
        <v>1</v>
      </c>
      <c r="L5" s="5">
        <v>20</v>
      </c>
      <c r="M5" s="95">
        <v>45267</v>
      </c>
      <c r="N5" s="95" t="s">
        <v>1312</v>
      </c>
      <c r="O5" s="112">
        <v>45024</v>
      </c>
      <c r="P5" s="2" t="s">
        <v>28</v>
      </c>
      <c r="Q5" s="112">
        <v>44964</v>
      </c>
      <c r="R5" t="s">
        <v>38</v>
      </c>
      <c r="S5" t="s">
        <v>1313</v>
      </c>
    </row>
    <row r="6" spans="1:20" x14ac:dyDescent="0.3">
      <c r="A6" t="s">
        <v>60</v>
      </c>
      <c r="B6" s="316" t="s">
        <v>1314</v>
      </c>
      <c r="C6" s="2" t="s">
        <v>1315</v>
      </c>
      <c r="D6" s="287">
        <v>45022</v>
      </c>
      <c r="E6" s="282" t="s">
        <v>1316</v>
      </c>
      <c r="F6" s="252" t="s">
        <v>1317</v>
      </c>
      <c r="G6" s="252" t="s">
        <v>1318</v>
      </c>
      <c r="H6" s="7" t="s">
        <v>152</v>
      </c>
      <c r="I6" s="55">
        <v>20</v>
      </c>
      <c r="J6" s="252"/>
      <c r="K6" s="252">
        <v>1</v>
      </c>
      <c r="L6" s="252">
        <v>20</v>
      </c>
      <c r="M6" s="286">
        <v>45114</v>
      </c>
      <c r="N6" s="251" t="s">
        <v>1312</v>
      </c>
      <c r="O6" s="286">
        <v>45024</v>
      </c>
      <c r="P6" s="252" t="s">
        <v>28</v>
      </c>
      <c r="Q6" s="252" t="s">
        <v>1313</v>
      </c>
      <c r="R6" s="282" t="s">
        <v>191</v>
      </c>
      <c r="S6" s="282" t="s">
        <v>1319</v>
      </c>
    </row>
    <row r="7" spans="1:20" x14ac:dyDescent="0.3">
      <c r="A7" t="s">
        <v>123</v>
      </c>
      <c r="B7" s="123" t="s">
        <v>384</v>
      </c>
      <c r="C7" s="219" t="s">
        <v>1320</v>
      </c>
      <c r="D7" s="219" t="s">
        <v>1321</v>
      </c>
      <c r="E7" s="358" t="s">
        <v>1322</v>
      </c>
      <c r="F7" s="251" t="s">
        <v>1305</v>
      </c>
      <c r="G7" s="2" t="s">
        <v>1323</v>
      </c>
      <c r="H7" s="2" t="s">
        <v>1324</v>
      </c>
      <c r="I7" s="241">
        <v>54</v>
      </c>
      <c r="J7" s="2"/>
      <c r="K7" s="2"/>
      <c r="L7" s="2"/>
      <c r="M7" s="2" t="s">
        <v>1305</v>
      </c>
      <c r="N7" s="2"/>
      <c r="O7" s="2"/>
      <c r="P7" s="2" t="s">
        <v>1325</v>
      </c>
      <c r="Q7" s="2"/>
      <c r="R7" t="s">
        <v>123</v>
      </c>
      <c r="S7" t="s">
        <v>1326</v>
      </c>
    </row>
    <row r="8" spans="1:20" ht="41.4" x14ac:dyDescent="0.3">
      <c r="A8" t="s">
        <v>123</v>
      </c>
      <c r="B8" s="304" t="s">
        <v>166</v>
      </c>
      <c r="C8" s="46" t="s">
        <v>1327</v>
      </c>
      <c r="D8" s="219" t="s">
        <v>1328</v>
      </c>
      <c r="E8" s="358" t="s">
        <v>1329</v>
      </c>
      <c r="F8" s="2" t="s">
        <v>1330</v>
      </c>
      <c r="G8" s="2" t="s">
        <v>1331</v>
      </c>
      <c r="H8" s="2" t="s">
        <v>1332</v>
      </c>
      <c r="I8" s="241">
        <v>60</v>
      </c>
      <c r="J8" s="2"/>
      <c r="K8" s="2"/>
      <c r="L8" s="2"/>
      <c r="M8" s="2" t="s">
        <v>1333</v>
      </c>
      <c r="N8" s="2"/>
      <c r="O8" s="2"/>
      <c r="P8" s="219" t="s">
        <v>1334</v>
      </c>
      <c r="Q8" s="2" t="s">
        <v>1335</v>
      </c>
      <c r="R8" s="18" t="s">
        <v>123</v>
      </c>
      <c r="S8" s="18" t="s">
        <v>1319</v>
      </c>
    </row>
    <row r="9" spans="1:20" x14ac:dyDescent="0.3">
      <c r="A9" t="s">
        <v>1336</v>
      </c>
      <c r="B9" s="25" t="s">
        <v>124</v>
      </c>
      <c r="C9" s="219" t="s">
        <v>1337</v>
      </c>
      <c r="D9" s="219" t="s">
        <v>1338</v>
      </c>
      <c r="E9" s="262" t="s">
        <v>1339</v>
      </c>
      <c r="F9" s="2" t="s">
        <v>1312</v>
      </c>
      <c r="G9" s="2" t="s">
        <v>1340</v>
      </c>
      <c r="H9" s="249" t="s">
        <v>127</v>
      </c>
      <c r="I9" s="250">
        <v>30</v>
      </c>
      <c r="J9" s="2"/>
      <c r="K9" s="2"/>
      <c r="L9" s="2"/>
      <c r="M9" s="2" t="s">
        <v>1330</v>
      </c>
      <c r="N9" s="2"/>
      <c r="O9" s="2"/>
      <c r="P9" s="219" t="s">
        <v>1334</v>
      </c>
      <c r="Q9" s="2" t="s">
        <v>1335</v>
      </c>
      <c r="R9" s="18" t="s">
        <v>123</v>
      </c>
      <c r="S9" s="18" t="s">
        <v>1319</v>
      </c>
    </row>
    <row r="10" spans="1:20" ht="28.8" x14ac:dyDescent="0.3">
      <c r="A10" t="s">
        <v>38</v>
      </c>
      <c r="B10" s="27" t="s">
        <v>1341</v>
      </c>
      <c r="C10" s="2" t="s">
        <v>1342</v>
      </c>
      <c r="D10" s="2" t="s">
        <v>1343</v>
      </c>
      <c r="E10" s="2" t="s">
        <v>1344</v>
      </c>
      <c r="F10" s="95">
        <v>44962</v>
      </c>
      <c r="G10" s="2" t="s">
        <v>1345</v>
      </c>
      <c r="H10" s="20" t="s">
        <v>1346</v>
      </c>
      <c r="I10" s="2">
        <v>276</v>
      </c>
      <c r="J10" s="2" t="s">
        <v>1347</v>
      </c>
      <c r="K10" s="34" t="s">
        <v>1348</v>
      </c>
      <c r="L10" s="5">
        <v>20</v>
      </c>
      <c r="M10" s="95">
        <v>45236</v>
      </c>
      <c r="N10" s="95" t="s">
        <v>1333</v>
      </c>
      <c r="O10" s="112">
        <v>45085</v>
      </c>
      <c r="P10" s="2" t="s">
        <v>1349</v>
      </c>
      <c r="Q10" s="112">
        <v>45144</v>
      </c>
      <c r="R10" s="315" t="s">
        <v>1350</v>
      </c>
      <c r="S10" s="314" t="s">
        <v>1351</v>
      </c>
    </row>
    <row r="11" spans="1:20" x14ac:dyDescent="0.3">
      <c r="A11" t="s">
        <v>55</v>
      </c>
      <c r="B11" s="27" t="s">
        <v>1352</v>
      </c>
      <c r="C11" s="37" t="s">
        <v>1353</v>
      </c>
      <c r="D11" s="2" t="s">
        <v>1309</v>
      </c>
      <c r="E11" s="2" t="s">
        <v>1354</v>
      </c>
      <c r="F11" s="95">
        <v>45051</v>
      </c>
      <c r="G11" s="2" t="s">
        <v>1355</v>
      </c>
      <c r="H11" s="25" t="s">
        <v>1356</v>
      </c>
      <c r="I11" s="2">
        <v>470.94</v>
      </c>
      <c r="J11" s="2"/>
      <c r="K11" s="5" t="s">
        <v>1357</v>
      </c>
      <c r="L11" s="5">
        <v>20</v>
      </c>
      <c r="M11" s="2" t="s">
        <v>1358</v>
      </c>
      <c r="N11" s="95" t="s">
        <v>1359</v>
      </c>
      <c r="O11" s="112">
        <v>45207</v>
      </c>
      <c r="P11" s="2" t="s">
        <v>1360</v>
      </c>
      <c r="Q11" s="2" t="s">
        <v>1361</v>
      </c>
      <c r="R11" t="s">
        <v>55</v>
      </c>
      <c r="S11" s="137" t="s">
        <v>1362</v>
      </c>
    </row>
    <row r="12" spans="1:20" x14ac:dyDescent="0.3">
      <c r="A12" t="s">
        <v>38</v>
      </c>
      <c r="B12" s="27" t="s">
        <v>1363</v>
      </c>
      <c r="C12" s="19" t="s">
        <v>1364</v>
      </c>
      <c r="D12" s="95">
        <v>45083</v>
      </c>
      <c r="E12" s="4" t="s">
        <v>1365</v>
      </c>
      <c r="F12" s="2" t="s">
        <v>1366</v>
      </c>
      <c r="G12" s="2" t="s">
        <v>1367</v>
      </c>
      <c r="H12" s="25" t="s">
        <v>1368</v>
      </c>
      <c r="I12" s="57">
        <v>276.29700000000003</v>
      </c>
      <c r="J12" s="95">
        <v>45023</v>
      </c>
      <c r="K12" s="5">
        <v>12</v>
      </c>
      <c r="L12" s="5">
        <v>20</v>
      </c>
      <c r="M12" s="95">
        <v>45145</v>
      </c>
      <c r="N12" s="95" t="s">
        <v>1359</v>
      </c>
      <c r="O12" s="112">
        <v>45207</v>
      </c>
      <c r="P12" s="2" t="s">
        <v>28</v>
      </c>
      <c r="Q12" s="112">
        <v>45084</v>
      </c>
      <c r="R12" t="s">
        <v>38</v>
      </c>
      <c r="S12" s="137">
        <v>44965</v>
      </c>
    </row>
    <row r="13" spans="1:20" x14ac:dyDescent="0.3">
      <c r="A13" t="s">
        <v>38</v>
      </c>
      <c r="B13" s="27" t="s">
        <v>1363</v>
      </c>
      <c r="C13" s="19" t="s">
        <v>1364</v>
      </c>
      <c r="D13" s="95">
        <v>45083</v>
      </c>
      <c r="E13" s="4" t="s">
        <v>1369</v>
      </c>
      <c r="F13" s="2" t="s">
        <v>1366</v>
      </c>
      <c r="G13" s="2" t="s">
        <v>1367</v>
      </c>
      <c r="H13" s="25" t="s">
        <v>1368</v>
      </c>
      <c r="I13" s="355">
        <v>230.2</v>
      </c>
      <c r="J13" s="95">
        <v>45023</v>
      </c>
      <c r="K13" s="5">
        <v>10</v>
      </c>
      <c r="L13" s="5">
        <v>20</v>
      </c>
      <c r="M13" s="95">
        <v>45145</v>
      </c>
      <c r="N13" s="95" t="s">
        <v>1359</v>
      </c>
      <c r="O13" s="112">
        <v>45207</v>
      </c>
      <c r="P13" s="2" t="s">
        <v>28</v>
      </c>
      <c r="Q13" s="112">
        <v>45084</v>
      </c>
      <c r="R13" t="s">
        <v>38</v>
      </c>
      <c r="S13" s="137">
        <v>44993</v>
      </c>
    </row>
    <row r="14" spans="1:20" ht="28.8" x14ac:dyDescent="0.3">
      <c r="A14" t="s">
        <v>60</v>
      </c>
      <c r="B14" s="316" t="s">
        <v>351</v>
      </c>
      <c r="C14" s="34" t="s">
        <v>1370</v>
      </c>
      <c r="D14" s="345">
        <v>45171</v>
      </c>
      <c r="E14" s="252" t="s">
        <v>1371</v>
      </c>
      <c r="F14" s="252" t="s">
        <v>1372</v>
      </c>
      <c r="G14" s="252" t="s">
        <v>1373</v>
      </c>
      <c r="H14" s="7" t="s">
        <v>1374</v>
      </c>
      <c r="I14" s="336">
        <v>3.8</v>
      </c>
      <c r="J14" s="252" t="s">
        <v>1375</v>
      </c>
      <c r="K14" s="252">
        <v>1</v>
      </c>
      <c r="L14" s="252">
        <v>20</v>
      </c>
      <c r="M14" s="112" t="s">
        <v>1312</v>
      </c>
      <c r="N14" s="286" t="s">
        <v>1376</v>
      </c>
      <c r="O14" s="286">
        <v>45207</v>
      </c>
      <c r="P14" s="252" t="s">
        <v>1377</v>
      </c>
      <c r="Q14" s="300" t="s">
        <v>1378</v>
      </c>
      <c r="R14" s="282" t="s">
        <v>1379</v>
      </c>
      <c r="S14" s="320">
        <v>45085</v>
      </c>
      <c r="T14" s="282" t="s">
        <v>1380</v>
      </c>
    </row>
    <row r="15" spans="1:20" ht="28.8" x14ac:dyDescent="0.3">
      <c r="A15" t="s">
        <v>60</v>
      </c>
      <c r="B15" s="316" t="s">
        <v>351</v>
      </c>
      <c r="C15" s="34" t="s">
        <v>1370</v>
      </c>
      <c r="D15" s="345">
        <v>45171</v>
      </c>
      <c r="E15" s="252" t="s">
        <v>1371</v>
      </c>
      <c r="F15" s="252" t="s">
        <v>1372</v>
      </c>
      <c r="G15" s="252" t="s">
        <v>1373</v>
      </c>
      <c r="H15" s="7" t="s">
        <v>1381</v>
      </c>
      <c r="I15" s="10">
        <v>6</v>
      </c>
      <c r="J15" s="252" t="s">
        <v>1375</v>
      </c>
      <c r="K15" s="252">
        <v>1</v>
      </c>
      <c r="L15" s="252">
        <v>20</v>
      </c>
      <c r="M15" s="112" t="s">
        <v>1312</v>
      </c>
      <c r="N15" s="286" t="s">
        <v>1376</v>
      </c>
      <c r="O15" s="286">
        <v>45207</v>
      </c>
      <c r="P15" s="252" t="s">
        <v>1377</v>
      </c>
      <c r="Q15" s="286">
        <v>45083</v>
      </c>
      <c r="R15" s="282" t="s">
        <v>1379</v>
      </c>
      <c r="S15" s="320">
        <v>45085</v>
      </c>
      <c r="T15" s="282" t="s">
        <v>1380</v>
      </c>
    </row>
    <row r="16" spans="1:20" ht="43.2" x14ac:dyDescent="0.3">
      <c r="A16" t="s">
        <v>60</v>
      </c>
      <c r="B16" s="316" t="s">
        <v>351</v>
      </c>
      <c r="C16" s="25" t="s">
        <v>1382</v>
      </c>
      <c r="D16" s="283" t="s">
        <v>1343</v>
      </c>
      <c r="E16" s="252" t="s">
        <v>1383</v>
      </c>
      <c r="F16" s="287">
        <v>44931</v>
      </c>
      <c r="G16" s="252" t="s">
        <v>1384</v>
      </c>
      <c r="H16" s="7" t="s">
        <v>1385</v>
      </c>
      <c r="I16" s="10">
        <v>8</v>
      </c>
      <c r="J16" s="252" t="s">
        <v>1375</v>
      </c>
      <c r="K16" s="252">
        <v>1</v>
      </c>
      <c r="L16" s="252">
        <v>20</v>
      </c>
      <c r="M16" s="112" t="s">
        <v>1330</v>
      </c>
      <c r="N16" s="286">
        <v>44934</v>
      </c>
      <c r="O16" s="286">
        <v>45238</v>
      </c>
      <c r="P16" s="252" t="s">
        <v>1386</v>
      </c>
      <c r="Q16" s="286">
        <v>45083</v>
      </c>
      <c r="R16" s="282" t="s">
        <v>1387</v>
      </c>
      <c r="S16" s="320">
        <v>45085</v>
      </c>
      <c r="T16" s="282" t="s">
        <v>1388</v>
      </c>
    </row>
    <row r="17" spans="1:19" ht="28.8" x14ac:dyDescent="0.3">
      <c r="A17" t="s">
        <v>60</v>
      </c>
      <c r="B17" s="261" t="s">
        <v>895</v>
      </c>
      <c r="C17" s="252" t="s">
        <v>1389</v>
      </c>
      <c r="D17" s="286">
        <v>45237</v>
      </c>
      <c r="E17" s="251">
        <v>524304358</v>
      </c>
      <c r="F17" s="252" t="s">
        <v>1301</v>
      </c>
      <c r="G17" s="252" t="s">
        <v>1390</v>
      </c>
      <c r="H17" s="252" t="s">
        <v>1391</v>
      </c>
      <c r="I17" s="252">
        <v>6</v>
      </c>
      <c r="J17" s="252"/>
      <c r="K17" s="252"/>
      <c r="L17" s="252"/>
      <c r="M17" s="252" t="s">
        <v>1319</v>
      </c>
      <c r="N17" s="286">
        <v>44934</v>
      </c>
      <c r="O17" s="252"/>
      <c r="P17" s="252" t="s">
        <v>1392</v>
      </c>
      <c r="Q17" s="252" t="s">
        <v>1376</v>
      </c>
      <c r="R17" s="282" t="s">
        <v>38</v>
      </c>
      <c r="S17" s="137">
        <v>45085</v>
      </c>
    </row>
    <row r="18" spans="1:19" x14ac:dyDescent="0.3">
      <c r="A18" t="s">
        <v>60</v>
      </c>
      <c r="B18" s="36" t="s">
        <v>109</v>
      </c>
      <c r="C18" s="350" t="s">
        <v>1393</v>
      </c>
      <c r="D18" s="283" t="s">
        <v>1394</v>
      </c>
      <c r="E18" s="252" t="s">
        <v>1395</v>
      </c>
      <c r="F18" s="252" t="s">
        <v>1396</v>
      </c>
      <c r="G18" s="252" t="s">
        <v>1397</v>
      </c>
      <c r="H18" s="20" t="s">
        <v>1398</v>
      </c>
      <c r="I18" s="20">
        <v>125</v>
      </c>
      <c r="J18" s="252"/>
      <c r="K18" s="252">
        <v>5</v>
      </c>
      <c r="L18" s="252">
        <v>20</v>
      </c>
      <c r="M18" s="283" t="s">
        <v>1326</v>
      </c>
      <c r="N18" s="345">
        <v>44993</v>
      </c>
      <c r="O18" s="252" t="s">
        <v>1399</v>
      </c>
      <c r="P18" s="252" t="s">
        <v>121</v>
      </c>
      <c r="Q18" s="286">
        <v>45177</v>
      </c>
      <c r="R18" s="282" t="s">
        <v>191</v>
      </c>
      <c r="S18" s="282" t="s">
        <v>1400</v>
      </c>
    </row>
    <row r="19" spans="1:19" x14ac:dyDescent="0.3">
      <c r="A19" t="s">
        <v>60</v>
      </c>
      <c r="B19" s="261" t="s">
        <v>240</v>
      </c>
      <c r="C19" s="252" t="s">
        <v>1401</v>
      </c>
      <c r="D19" s="345">
        <v>45083</v>
      </c>
      <c r="E19" s="251">
        <v>226804664</v>
      </c>
      <c r="F19" s="287">
        <v>45052</v>
      </c>
      <c r="G19" s="252" t="s">
        <v>1402</v>
      </c>
      <c r="H19" s="252" t="s">
        <v>106</v>
      </c>
      <c r="I19" s="252">
        <v>193.40600000000001</v>
      </c>
      <c r="J19" s="252" t="s">
        <v>1403</v>
      </c>
      <c r="K19" s="252">
        <v>8</v>
      </c>
      <c r="L19" s="252">
        <v>20</v>
      </c>
      <c r="M19" s="345" t="s">
        <v>1359</v>
      </c>
      <c r="N19" s="287">
        <v>45146</v>
      </c>
      <c r="O19" s="252" t="s">
        <v>1404</v>
      </c>
      <c r="P19" s="252" t="s">
        <v>28</v>
      </c>
      <c r="Q19" s="286">
        <v>45085</v>
      </c>
      <c r="R19" s="282" t="s">
        <v>191</v>
      </c>
      <c r="S19" s="282" t="s">
        <v>1400</v>
      </c>
    </row>
    <row r="20" spans="1:19" x14ac:dyDescent="0.3">
      <c r="A20" t="s">
        <v>38</v>
      </c>
      <c r="B20" s="2" t="s">
        <v>1405</v>
      </c>
      <c r="C20" s="2" t="s">
        <v>1406</v>
      </c>
      <c r="D20" s="112">
        <v>45206</v>
      </c>
      <c r="E20" s="2" t="s">
        <v>1407</v>
      </c>
      <c r="F20" s="2" t="s">
        <v>1362</v>
      </c>
      <c r="G20" s="2" t="s">
        <v>1331</v>
      </c>
      <c r="H20" s="25" t="s">
        <v>1408</v>
      </c>
      <c r="I20" s="2">
        <v>5</v>
      </c>
      <c r="J20" s="2"/>
      <c r="K20" s="5">
        <v>1</v>
      </c>
      <c r="L20" s="2"/>
      <c r="M20" s="95">
        <v>45024</v>
      </c>
      <c r="N20" s="95">
        <v>45268</v>
      </c>
      <c r="O20" s="2"/>
      <c r="P20" s="2" t="s">
        <v>28</v>
      </c>
      <c r="Q20" s="112">
        <v>45207</v>
      </c>
      <c r="R20" s="282" t="s">
        <v>38</v>
      </c>
      <c r="S20" t="s">
        <v>1400</v>
      </c>
    </row>
    <row r="21" spans="1:19" x14ac:dyDescent="0.3">
      <c r="A21" t="s">
        <v>60</v>
      </c>
      <c r="B21" s="2" t="s">
        <v>1405</v>
      </c>
      <c r="C21" s="2" t="s">
        <v>1409</v>
      </c>
      <c r="D21" s="169">
        <v>45176</v>
      </c>
      <c r="E21" s="2" t="s">
        <v>1410</v>
      </c>
      <c r="F21" s="2" t="s">
        <v>1362</v>
      </c>
      <c r="G21" s="2" t="s">
        <v>1331</v>
      </c>
      <c r="H21" s="25" t="s">
        <v>1408</v>
      </c>
      <c r="I21" s="2">
        <v>5</v>
      </c>
      <c r="J21" s="2"/>
      <c r="K21" s="44">
        <v>1</v>
      </c>
      <c r="L21" s="2"/>
      <c r="M21" s="95">
        <v>45024</v>
      </c>
      <c r="N21" s="95">
        <v>45054</v>
      </c>
      <c r="O21" s="2"/>
      <c r="P21" s="2" t="s">
        <v>28</v>
      </c>
      <c r="Q21" s="112">
        <v>45177</v>
      </c>
      <c r="R21" s="282" t="s">
        <v>38</v>
      </c>
      <c r="S21" t="s">
        <v>1400</v>
      </c>
    </row>
    <row r="22" spans="1:19" ht="57.6" x14ac:dyDescent="0.3">
      <c r="A22" t="s">
        <v>38</v>
      </c>
      <c r="B22" s="27" t="s">
        <v>1411</v>
      </c>
      <c r="C22" s="2" t="s">
        <v>1412</v>
      </c>
      <c r="D22" s="95">
        <v>45113</v>
      </c>
      <c r="E22" s="19">
        <v>227737348</v>
      </c>
      <c r="F22" s="2" t="s">
        <v>1413</v>
      </c>
      <c r="G22" s="2" t="s">
        <v>1414</v>
      </c>
      <c r="H22" s="25" t="s">
        <v>1356</v>
      </c>
      <c r="I22" s="2">
        <v>502.93099999999998</v>
      </c>
      <c r="J22" s="2"/>
      <c r="K22" s="5">
        <v>23</v>
      </c>
      <c r="L22" s="5">
        <v>20</v>
      </c>
      <c r="M22" s="2" t="s">
        <v>1299</v>
      </c>
      <c r="N22" s="95">
        <v>45085</v>
      </c>
      <c r="O22" s="2" t="s">
        <v>1415</v>
      </c>
      <c r="P22" s="2" t="s">
        <v>28</v>
      </c>
      <c r="Q22" s="112">
        <v>45023</v>
      </c>
      <c r="R22" s="315" t="s">
        <v>1416</v>
      </c>
      <c r="S22" s="314" t="s">
        <v>1417</v>
      </c>
    </row>
    <row r="23" spans="1:19" x14ac:dyDescent="0.3">
      <c r="A23" t="s">
        <v>38</v>
      </c>
      <c r="B23" s="36" t="s">
        <v>1418</v>
      </c>
      <c r="C23" s="122" t="s">
        <v>1419</v>
      </c>
      <c r="D23" s="19" t="s">
        <v>1396</v>
      </c>
      <c r="E23" s="2" t="s">
        <v>1420</v>
      </c>
      <c r="F23" s="2" t="s">
        <v>1375</v>
      </c>
      <c r="G23" s="2" t="s">
        <v>1421</v>
      </c>
      <c r="H23" s="7" t="s">
        <v>1422</v>
      </c>
      <c r="I23" s="318">
        <v>192</v>
      </c>
      <c r="J23" s="2" t="s">
        <v>1423</v>
      </c>
      <c r="K23" s="5">
        <v>8</v>
      </c>
      <c r="L23" s="5">
        <v>20</v>
      </c>
      <c r="M23" s="95" t="s">
        <v>1326</v>
      </c>
      <c r="N23" s="95">
        <v>45268</v>
      </c>
      <c r="O23" s="112">
        <v>44966</v>
      </c>
      <c r="P23" s="2" t="s">
        <v>28</v>
      </c>
      <c r="Q23" s="44" t="s">
        <v>1362</v>
      </c>
      <c r="R23" s="282" t="s">
        <v>38</v>
      </c>
      <c r="S23" t="s">
        <v>1424</v>
      </c>
    </row>
    <row r="24" spans="1:19" x14ac:dyDescent="0.3">
      <c r="A24" t="s">
        <v>38</v>
      </c>
      <c r="B24" s="27" t="s">
        <v>1425</v>
      </c>
      <c r="C24" s="2" t="s">
        <v>1426</v>
      </c>
      <c r="D24" s="95">
        <v>45084</v>
      </c>
      <c r="E24" s="4">
        <v>227422058</v>
      </c>
      <c r="F24" s="2" t="s">
        <v>1396</v>
      </c>
      <c r="G24" s="2" t="s">
        <v>1427</v>
      </c>
      <c r="H24" s="25" t="s">
        <v>1368</v>
      </c>
      <c r="I24" s="57">
        <v>473.33</v>
      </c>
      <c r="J24" s="2" t="s">
        <v>1403</v>
      </c>
      <c r="K24" s="5">
        <v>20</v>
      </c>
      <c r="L24" s="5">
        <v>20</v>
      </c>
      <c r="M24" s="95" t="s">
        <v>1298</v>
      </c>
      <c r="N24" s="94">
        <v>45085</v>
      </c>
      <c r="O24" s="2" t="s">
        <v>1415</v>
      </c>
      <c r="P24" s="2" t="s">
        <v>28</v>
      </c>
      <c r="Q24" s="112">
        <v>45238</v>
      </c>
      <c r="R24" s="282" t="s">
        <v>1428</v>
      </c>
      <c r="S24" t="s">
        <v>1399</v>
      </c>
    </row>
    <row r="25" spans="1:19" x14ac:dyDescent="0.3">
      <c r="A25" t="s">
        <v>38</v>
      </c>
      <c r="B25" s="27" t="s">
        <v>109</v>
      </c>
      <c r="C25" s="2" t="s">
        <v>1429</v>
      </c>
      <c r="D25" s="19" t="s">
        <v>1299</v>
      </c>
      <c r="E25" s="19" t="s">
        <v>1430</v>
      </c>
      <c r="F25" s="95">
        <v>37322</v>
      </c>
      <c r="G25" s="2" t="s">
        <v>1431</v>
      </c>
      <c r="H25" s="25" t="s">
        <v>1368</v>
      </c>
      <c r="I25" s="2" t="s">
        <v>1432</v>
      </c>
      <c r="J25" s="2" t="s">
        <v>1333</v>
      </c>
      <c r="K25" s="5">
        <v>20</v>
      </c>
      <c r="L25" s="5">
        <v>20</v>
      </c>
      <c r="M25" s="2" t="s">
        <v>1376</v>
      </c>
      <c r="N25" s="95">
        <v>45268</v>
      </c>
      <c r="O25" s="2" t="s">
        <v>1399</v>
      </c>
      <c r="P25" s="2" t="s">
        <v>28</v>
      </c>
      <c r="Q25" s="112">
        <v>45207</v>
      </c>
      <c r="R25" s="282" t="s">
        <v>38</v>
      </c>
      <c r="S25" t="s">
        <v>1424</v>
      </c>
    </row>
    <row r="26" spans="1:19" ht="28.8" x14ac:dyDescent="0.3">
      <c r="A26" t="s">
        <v>60</v>
      </c>
      <c r="B26" s="316" t="s">
        <v>1433</v>
      </c>
      <c r="C26" s="252" t="s">
        <v>1434</v>
      </c>
      <c r="D26" s="345">
        <v>45022</v>
      </c>
      <c r="E26" s="251">
        <v>228680129</v>
      </c>
      <c r="F26" s="287">
        <v>44992</v>
      </c>
      <c r="G26" s="252" t="s">
        <v>1435</v>
      </c>
      <c r="H26" s="252" t="s">
        <v>1436</v>
      </c>
      <c r="I26" s="252">
        <v>18</v>
      </c>
      <c r="J26" s="286">
        <v>45237</v>
      </c>
      <c r="K26" s="252">
        <v>1</v>
      </c>
      <c r="L26" s="252">
        <v>20</v>
      </c>
      <c r="M26" s="252" t="s">
        <v>1313</v>
      </c>
      <c r="N26" s="286">
        <v>45177</v>
      </c>
      <c r="O26" s="252" t="s">
        <v>1437</v>
      </c>
      <c r="P26" s="252" t="s">
        <v>28</v>
      </c>
      <c r="Q26" s="286">
        <v>45085</v>
      </c>
      <c r="R26" s="282" t="s">
        <v>191</v>
      </c>
      <c r="S26" s="333" t="s">
        <v>1424</v>
      </c>
    </row>
    <row r="27" spans="1:19" x14ac:dyDescent="0.3">
      <c r="A27" t="s">
        <v>1438</v>
      </c>
      <c r="B27" s="2" t="s">
        <v>1439</v>
      </c>
      <c r="C27" s="2" t="s">
        <v>1440</v>
      </c>
      <c r="D27" s="112" t="s">
        <v>1313</v>
      </c>
      <c r="E27" s="2" t="s">
        <v>1441</v>
      </c>
      <c r="F27" s="112">
        <v>45054</v>
      </c>
      <c r="G27" s="2" t="s">
        <v>1442</v>
      </c>
      <c r="H27" s="2" t="s">
        <v>70</v>
      </c>
      <c r="I27" s="2">
        <v>31.03</v>
      </c>
      <c r="J27" s="2"/>
      <c r="K27" s="2"/>
      <c r="L27" s="2"/>
      <c r="M27" s="2"/>
      <c r="N27" s="2"/>
      <c r="O27" s="2"/>
      <c r="P27" s="2" t="s">
        <v>28</v>
      </c>
      <c r="Q27" s="2"/>
    </row>
    <row r="28" spans="1:19" x14ac:dyDescent="0.3">
      <c r="A28" t="s">
        <v>1438</v>
      </c>
      <c r="B28" s="2" t="s">
        <v>1439</v>
      </c>
      <c r="C28" s="2" t="s">
        <v>1440</v>
      </c>
      <c r="D28" s="112" t="s">
        <v>1313</v>
      </c>
      <c r="E28" s="2" t="s">
        <v>1443</v>
      </c>
      <c r="F28" s="112">
        <v>45054</v>
      </c>
      <c r="G28" s="2" t="s">
        <v>1442</v>
      </c>
      <c r="H28" s="2" t="s">
        <v>70</v>
      </c>
      <c r="I28" s="2">
        <v>61</v>
      </c>
      <c r="J28" s="2"/>
      <c r="K28" s="2"/>
      <c r="L28" s="2"/>
      <c r="M28" s="2"/>
      <c r="N28" s="2"/>
      <c r="O28" s="2"/>
      <c r="P28" s="2" t="s">
        <v>28</v>
      </c>
      <c r="Q28" s="2"/>
    </row>
    <row r="29" spans="1:19" ht="43.2" x14ac:dyDescent="0.3">
      <c r="A29" t="s">
        <v>60</v>
      </c>
      <c r="B29" s="261" t="s">
        <v>1314</v>
      </c>
      <c r="C29" s="37" t="s">
        <v>1444</v>
      </c>
      <c r="D29" s="283" t="s">
        <v>1445</v>
      </c>
      <c r="E29" s="2" t="s">
        <v>1446</v>
      </c>
      <c r="F29" s="252" t="s">
        <v>1447</v>
      </c>
      <c r="G29" s="252" t="s">
        <v>1318</v>
      </c>
      <c r="H29" s="252" t="s">
        <v>152</v>
      </c>
      <c r="I29" s="252">
        <v>20</v>
      </c>
      <c r="J29" s="252"/>
      <c r="K29" s="252">
        <v>1</v>
      </c>
      <c r="L29" s="252">
        <v>20</v>
      </c>
      <c r="M29" s="252" t="s">
        <v>1361</v>
      </c>
      <c r="N29" s="286" t="s">
        <v>1399</v>
      </c>
      <c r="O29" s="252" t="s">
        <v>1448</v>
      </c>
      <c r="P29" s="252" t="s">
        <v>28</v>
      </c>
      <c r="Q29" s="286">
        <v>44993</v>
      </c>
      <c r="R29" s="282" t="s">
        <v>191</v>
      </c>
      <c r="S29" s="282" t="s">
        <v>1449</v>
      </c>
    </row>
    <row r="30" spans="1:19" ht="100.5" customHeight="1" x14ac:dyDescent="0.3">
      <c r="A30" t="s">
        <v>60</v>
      </c>
      <c r="B30" s="316" t="s">
        <v>1433</v>
      </c>
      <c r="C30" s="2" t="s">
        <v>1450</v>
      </c>
      <c r="D30" s="5" t="s">
        <v>1451</v>
      </c>
      <c r="E30" s="6" t="s">
        <v>1452</v>
      </c>
      <c r="F30" s="287">
        <v>45083</v>
      </c>
      <c r="G30" s="252" t="s">
        <v>1232</v>
      </c>
      <c r="H30" s="7" t="s">
        <v>1453</v>
      </c>
      <c r="I30" s="10">
        <v>21</v>
      </c>
      <c r="J30" s="252"/>
      <c r="K30" s="252">
        <v>1</v>
      </c>
      <c r="L30" s="252">
        <v>20</v>
      </c>
      <c r="M30" s="345" t="s">
        <v>1305</v>
      </c>
      <c r="N30" s="287" t="s">
        <v>1400</v>
      </c>
      <c r="O30" s="252" t="s">
        <v>1454</v>
      </c>
      <c r="P30" s="252" t="s">
        <v>28</v>
      </c>
      <c r="Q30" s="286">
        <v>44993</v>
      </c>
      <c r="R30" t="s">
        <v>38</v>
      </c>
      <c r="S30" s="320" t="s">
        <v>1455</v>
      </c>
    </row>
    <row r="31" spans="1:19" x14ac:dyDescent="0.3">
      <c r="A31" t="s">
        <v>55</v>
      </c>
      <c r="B31" s="27" t="s">
        <v>1418</v>
      </c>
      <c r="C31" s="2" t="s">
        <v>1456</v>
      </c>
      <c r="D31" s="19" t="s">
        <v>1457</v>
      </c>
      <c r="E31" s="25" t="s">
        <v>1458</v>
      </c>
      <c r="F31" s="95">
        <v>44963</v>
      </c>
      <c r="G31" s="2" t="s">
        <v>1421</v>
      </c>
      <c r="H31" s="25" t="s">
        <v>1459</v>
      </c>
      <c r="I31" s="2">
        <v>287.86</v>
      </c>
      <c r="J31" s="2"/>
      <c r="K31" s="5">
        <v>12</v>
      </c>
      <c r="L31" s="5">
        <v>20</v>
      </c>
      <c r="M31" s="2" t="s">
        <v>1301</v>
      </c>
      <c r="N31" s="95" t="s">
        <v>1424</v>
      </c>
      <c r="O31" s="112">
        <v>45055</v>
      </c>
      <c r="P31" s="2" t="s">
        <v>28</v>
      </c>
      <c r="Q31" s="112">
        <v>45115</v>
      </c>
      <c r="R31" t="s">
        <v>55</v>
      </c>
      <c r="S31" s="137" t="s">
        <v>1437</v>
      </c>
    </row>
    <row r="32" spans="1:19" x14ac:dyDescent="0.3">
      <c r="A32" t="s">
        <v>60</v>
      </c>
      <c r="B32" s="36" t="s">
        <v>1460</v>
      </c>
      <c r="C32" s="252" t="s">
        <v>1461</v>
      </c>
      <c r="D32" s="283" t="s">
        <v>1309</v>
      </c>
      <c r="E32" s="251">
        <v>228741644</v>
      </c>
      <c r="F32" s="252"/>
      <c r="G32" s="252" t="s">
        <v>1462</v>
      </c>
      <c r="H32" s="252" t="s">
        <v>715</v>
      </c>
      <c r="I32" s="252">
        <v>115.84</v>
      </c>
      <c r="J32" s="252"/>
      <c r="K32" s="252">
        <v>5</v>
      </c>
      <c r="L32" s="252">
        <v>20</v>
      </c>
      <c r="M32" s="286">
        <v>45146</v>
      </c>
      <c r="N32" s="252" t="s">
        <v>1463</v>
      </c>
      <c r="O32" s="286">
        <v>44994</v>
      </c>
      <c r="P32" s="252" t="s">
        <v>28</v>
      </c>
      <c r="Q32" s="252" t="s">
        <v>1464</v>
      </c>
      <c r="R32" s="282" t="s">
        <v>191</v>
      </c>
      <c r="S32" s="282" t="s">
        <v>1465</v>
      </c>
    </row>
    <row r="33" spans="1:19" x14ac:dyDescent="0.3">
      <c r="A33" t="s">
        <v>38</v>
      </c>
      <c r="B33" s="316" t="s">
        <v>1314</v>
      </c>
      <c r="C33" s="37" t="s">
        <v>1466</v>
      </c>
      <c r="D33" s="95">
        <v>45174</v>
      </c>
      <c r="E33" s="2" t="s">
        <v>1467</v>
      </c>
      <c r="F33" s="112" t="s">
        <v>1468</v>
      </c>
      <c r="G33" s="2" t="s">
        <v>1318</v>
      </c>
      <c r="H33" s="7" t="s">
        <v>152</v>
      </c>
      <c r="I33" s="55">
        <v>20</v>
      </c>
      <c r="J33" s="2"/>
      <c r="K33" s="5">
        <v>1</v>
      </c>
      <c r="L33" s="5">
        <v>20</v>
      </c>
      <c r="M33" s="95" t="s">
        <v>1469</v>
      </c>
      <c r="N33" s="95" t="s">
        <v>1399</v>
      </c>
      <c r="O33" s="2" t="s">
        <v>1448</v>
      </c>
      <c r="P33" s="2" t="s">
        <v>28</v>
      </c>
      <c r="Q33" s="112">
        <v>44964</v>
      </c>
      <c r="R33" t="s">
        <v>38</v>
      </c>
      <c r="S33" s="137" t="s">
        <v>1465</v>
      </c>
    </row>
    <row r="34" spans="1:19" x14ac:dyDescent="0.3">
      <c r="A34" t="s">
        <v>38</v>
      </c>
      <c r="B34" s="27" t="s">
        <v>1470</v>
      </c>
      <c r="C34" s="2" t="s">
        <v>1471</v>
      </c>
      <c r="D34" s="95">
        <v>45022</v>
      </c>
      <c r="E34" s="2" t="s">
        <v>1472</v>
      </c>
      <c r="F34" s="95">
        <v>45114</v>
      </c>
      <c r="G34" s="2" t="s">
        <v>1473</v>
      </c>
      <c r="H34" s="25" t="s">
        <v>1474</v>
      </c>
      <c r="I34" s="2">
        <v>24.5</v>
      </c>
      <c r="J34" s="2"/>
      <c r="K34" s="5">
        <v>1</v>
      </c>
      <c r="L34" s="5">
        <v>20</v>
      </c>
      <c r="M34" s="95" t="s">
        <v>1475</v>
      </c>
      <c r="N34" s="2" t="s">
        <v>1448</v>
      </c>
      <c r="O34" s="112">
        <v>45178</v>
      </c>
      <c r="P34" s="2" t="s">
        <v>28</v>
      </c>
      <c r="Q34" s="112">
        <v>45085</v>
      </c>
      <c r="R34" s="18" t="s">
        <v>38</v>
      </c>
      <c r="S34" s="18" t="s">
        <v>1476</v>
      </c>
    </row>
    <row r="35" spans="1:19" x14ac:dyDescent="0.3">
      <c r="A35" t="s">
        <v>49</v>
      </c>
      <c r="B35" s="25" t="s">
        <v>1477</v>
      </c>
      <c r="C35" s="219" t="s">
        <v>1478</v>
      </c>
      <c r="D35" s="219" t="s">
        <v>1479</v>
      </c>
      <c r="E35" s="2" t="s">
        <v>1480</v>
      </c>
      <c r="F35" s="2" t="s">
        <v>1481</v>
      </c>
      <c r="G35" s="2" t="s">
        <v>1482</v>
      </c>
      <c r="H35" s="2" t="s">
        <v>127</v>
      </c>
      <c r="I35" s="2">
        <v>30</v>
      </c>
      <c r="J35" s="2"/>
      <c r="K35" s="2">
        <v>1</v>
      </c>
      <c r="L35" s="2">
        <v>20</v>
      </c>
      <c r="M35" s="2" t="s">
        <v>1448</v>
      </c>
      <c r="N35" s="2" t="s">
        <v>1476</v>
      </c>
      <c r="O35" s="2">
        <v>2</v>
      </c>
      <c r="P35" s="2" t="s">
        <v>28</v>
      </c>
      <c r="Q35" s="2" t="s">
        <v>1476</v>
      </c>
      <c r="R35" s="74" t="s">
        <v>49</v>
      </c>
      <c r="S35" s="74" t="s">
        <v>1483</v>
      </c>
    </row>
    <row r="36" spans="1:19" x14ac:dyDescent="0.3">
      <c r="A36" t="s">
        <v>60</v>
      </c>
      <c r="B36" s="36" t="s">
        <v>1460</v>
      </c>
      <c r="C36" s="252" t="s">
        <v>1484</v>
      </c>
      <c r="D36" s="345">
        <v>45176</v>
      </c>
      <c r="E36" s="251">
        <v>228730617</v>
      </c>
      <c r="F36" s="252" t="s">
        <v>1312</v>
      </c>
      <c r="G36" s="252" t="s">
        <v>1485</v>
      </c>
      <c r="H36" s="252" t="s">
        <v>715</v>
      </c>
      <c r="I36" s="252">
        <v>123.56</v>
      </c>
      <c r="J36" s="252"/>
      <c r="K36" s="252">
        <v>5</v>
      </c>
      <c r="L36" s="252">
        <v>20</v>
      </c>
      <c r="M36" s="252" t="s">
        <v>1448</v>
      </c>
      <c r="N36" s="286" t="s">
        <v>1465</v>
      </c>
      <c r="O36" s="286">
        <v>45178</v>
      </c>
      <c r="P36" s="252" t="s">
        <v>28</v>
      </c>
      <c r="Q36" s="252" t="s">
        <v>1476</v>
      </c>
      <c r="R36" t="s">
        <v>191</v>
      </c>
      <c r="S36" s="320">
        <v>44994</v>
      </c>
    </row>
    <row r="37" spans="1:19" x14ac:dyDescent="0.3">
      <c r="A37" t="s">
        <v>60</v>
      </c>
      <c r="B37" s="261" t="s">
        <v>1486</v>
      </c>
      <c r="C37" s="252" t="s">
        <v>1487</v>
      </c>
      <c r="D37" s="345">
        <v>45144</v>
      </c>
      <c r="E37" s="251">
        <v>228510671</v>
      </c>
      <c r="F37" s="252" t="s">
        <v>1317</v>
      </c>
      <c r="G37" s="252" t="s">
        <v>1427</v>
      </c>
      <c r="H37" s="252" t="s">
        <v>1356</v>
      </c>
      <c r="I37" s="252">
        <v>250</v>
      </c>
      <c r="J37" s="252"/>
      <c r="K37" s="252">
        <v>11</v>
      </c>
      <c r="L37" s="252">
        <v>20</v>
      </c>
      <c r="M37" s="252" t="s">
        <v>1424</v>
      </c>
      <c r="N37" s="252" t="s">
        <v>1488</v>
      </c>
      <c r="O37" s="286">
        <v>45178</v>
      </c>
      <c r="P37" s="252" t="s">
        <v>516</v>
      </c>
      <c r="Q37" s="287">
        <v>45238</v>
      </c>
      <c r="R37" s="282" t="s">
        <v>38</v>
      </c>
      <c r="S37" s="320">
        <v>45025</v>
      </c>
    </row>
    <row r="38" spans="1:19" x14ac:dyDescent="0.3">
      <c r="A38" t="s">
        <v>123</v>
      </c>
      <c r="B38" s="25" t="s">
        <v>124</v>
      </c>
      <c r="C38" s="219" t="s">
        <v>1489</v>
      </c>
      <c r="D38" s="360" t="s">
        <v>1479</v>
      </c>
      <c r="E38" s="361" t="s">
        <v>1490</v>
      </c>
      <c r="F38" s="112">
        <v>44966</v>
      </c>
      <c r="G38" t="s">
        <v>1491</v>
      </c>
      <c r="H38" s="249" t="s">
        <v>127</v>
      </c>
      <c r="I38" s="5">
        <v>30</v>
      </c>
      <c r="J38" s="2"/>
      <c r="K38" s="5">
        <v>1</v>
      </c>
      <c r="L38" s="2"/>
      <c r="M38" s="112">
        <v>44966</v>
      </c>
      <c r="N38" s="112">
        <v>44994</v>
      </c>
      <c r="O38" s="2">
        <v>3</v>
      </c>
      <c r="P38" s="219" t="s">
        <v>1492</v>
      </c>
      <c r="Q38" s="2"/>
      <c r="R38" t="s">
        <v>123</v>
      </c>
      <c r="S38" s="137">
        <v>45086</v>
      </c>
    </row>
    <row r="39" spans="1:19" x14ac:dyDescent="0.3">
      <c r="A39" t="s">
        <v>38</v>
      </c>
      <c r="B39" s="20" t="s">
        <v>1493</v>
      </c>
      <c r="C39" s="20" t="s">
        <v>1494</v>
      </c>
      <c r="D39" s="2"/>
      <c r="E39" s="19">
        <v>440403</v>
      </c>
      <c r="F39" s="2" t="s">
        <v>1475</v>
      </c>
      <c r="G39" s="2" t="s">
        <v>1495</v>
      </c>
      <c r="H39" s="20" t="s">
        <v>893</v>
      </c>
      <c r="I39" s="20">
        <v>4</v>
      </c>
      <c r="J39" s="2"/>
      <c r="K39" s="2"/>
      <c r="L39" s="2"/>
      <c r="M39" s="2" t="s">
        <v>1481</v>
      </c>
      <c r="N39" s="2" t="s">
        <v>1465</v>
      </c>
      <c r="O39" s="2">
        <v>2</v>
      </c>
      <c r="P39" s="2" t="s">
        <v>121</v>
      </c>
      <c r="Q39" s="2"/>
      <c r="R39" s="137">
        <v>44994</v>
      </c>
      <c r="S39" t="s">
        <v>38</v>
      </c>
    </row>
    <row r="40" spans="1:19" x14ac:dyDescent="0.3">
      <c r="A40" t="s">
        <v>38</v>
      </c>
      <c r="B40" s="20" t="s">
        <v>1493</v>
      </c>
      <c r="C40" s="20" t="s">
        <v>1494</v>
      </c>
      <c r="D40" s="2"/>
      <c r="E40" s="19">
        <v>440403</v>
      </c>
      <c r="F40" s="2" t="s">
        <v>1475</v>
      </c>
      <c r="G40" s="2" t="s">
        <v>1495</v>
      </c>
      <c r="H40" s="20" t="s">
        <v>1496</v>
      </c>
      <c r="I40" s="20">
        <v>2</v>
      </c>
      <c r="J40" s="2"/>
      <c r="K40" s="2"/>
      <c r="L40" s="2"/>
      <c r="M40" s="2" t="s">
        <v>1481</v>
      </c>
      <c r="N40" s="2" t="s">
        <v>1465</v>
      </c>
      <c r="O40" s="2">
        <v>2</v>
      </c>
      <c r="P40" s="2" t="s">
        <v>121</v>
      </c>
      <c r="Q40" s="2"/>
      <c r="R40" s="137">
        <v>44994</v>
      </c>
      <c r="S40" t="s">
        <v>38</v>
      </c>
    </row>
    <row r="41" spans="1:19" x14ac:dyDescent="0.3">
      <c r="A41" t="s">
        <v>38</v>
      </c>
      <c r="B41" s="27" t="s">
        <v>1497</v>
      </c>
      <c r="C41" t="s">
        <v>1498</v>
      </c>
      <c r="D41" s="95">
        <v>45115</v>
      </c>
      <c r="E41" s="2" t="s">
        <v>1499</v>
      </c>
      <c r="F41" s="2" t="s">
        <v>1500</v>
      </c>
      <c r="G41" s="2" t="s">
        <v>1355</v>
      </c>
      <c r="H41" s="25" t="s">
        <v>1368</v>
      </c>
      <c r="I41" s="57">
        <v>236.74299999999999</v>
      </c>
      <c r="J41" s="2"/>
      <c r="K41" s="5">
        <v>10</v>
      </c>
      <c r="L41" s="5">
        <v>20</v>
      </c>
      <c r="M41" s="95" t="s">
        <v>1424</v>
      </c>
      <c r="N41" s="2" t="s">
        <v>1501</v>
      </c>
      <c r="O41" s="112" t="s">
        <v>1502</v>
      </c>
      <c r="P41" s="2" t="s">
        <v>121</v>
      </c>
      <c r="Q41" s="95">
        <v>45086</v>
      </c>
      <c r="R41" s="18" t="s">
        <v>38</v>
      </c>
      <c r="S41" s="137">
        <v>45147</v>
      </c>
    </row>
    <row r="42" spans="1:19" x14ac:dyDescent="0.3">
      <c r="A42" t="s">
        <v>60</v>
      </c>
      <c r="B42" s="331" t="s">
        <v>1503</v>
      </c>
      <c r="C42" s="362" t="s">
        <v>1504</v>
      </c>
      <c r="D42" s="5" t="s">
        <v>1505</v>
      </c>
      <c r="E42" s="251">
        <v>209602209</v>
      </c>
      <c r="F42" s="252" t="s">
        <v>1476</v>
      </c>
      <c r="G42" s="252" t="s">
        <v>1296</v>
      </c>
      <c r="H42" s="19" t="s">
        <v>1506</v>
      </c>
      <c r="I42" s="252"/>
      <c r="J42" s="252"/>
      <c r="K42" s="252">
        <v>1</v>
      </c>
      <c r="L42" s="252"/>
      <c r="M42" s="286">
        <v>45025</v>
      </c>
      <c r="N42" s="286">
        <v>45055</v>
      </c>
      <c r="O42" s="252">
        <v>3</v>
      </c>
      <c r="P42" s="252" t="s">
        <v>28</v>
      </c>
      <c r="Q42" s="252"/>
      <c r="R42" t="s">
        <v>191</v>
      </c>
      <c r="S42" s="137">
        <v>45178</v>
      </c>
    </row>
    <row r="43" spans="1:19" x14ac:dyDescent="0.3">
      <c r="A43" t="s">
        <v>38</v>
      </c>
      <c r="B43" s="27" t="s">
        <v>1497</v>
      </c>
      <c r="C43" s="2" t="s">
        <v>1507</v>
      </c>
      <c r="D43" s="19" t="s">
        <v>1508</v>
      </c>
      <c r="E43" s="2" t="s">
        <v>1509</v>
      </c>
      <c r="F43" s="2" t="s">
        <v>1500</v>
      </c>
      <c r="G43" s="2" t="s">
        <v>1355</v>
      </c>
      <c r="H43" s="25" t="s">
        <v>1368</v>
      </c>
      <c r="I43" s="57">
        <v>237.779</v>
      </c>
      <c r="J43" s="2"/>
      <c r="K43" s="5">
        <v>10</v>
      </c>
      <c r="L43" s="5">
        <v>20</v>
      </c>
      <c r="M43" s="95" t="s">
        <v>1424</v>
      </c>
      <c r="N43" s="2" t="s">
        <v>1501</v>
      </c>
      <c r="O43" s="112" t="s">
        <v>1502</v>
      </c>
      <c r="P43" s="2" t="s">
        <v>1510</v>
      </c>
      <c r="Q43" s="2" t="s">
        <v>1511</v>
      </c>
      <c r="R43" s="18" t="s">
        <v>38</v>
      </c>
      <c r="S43" s="138">
        <v>45269</v>
      </c>
    </row>
    <row r="44" spans="1:19" x14ac:dyDescent="0.3">
      <c r="A44" t="s">
        <v>60</v>
      </c>
      <c r="B44" s="27" t="s">
        <v>157</v>
      </c>
      <c r="C44" s="2" t="s">
        <v>1512</v>
      </c>
      <c r="D44" s="283" t="s">
        <v>1476</v>
      </c>
      <c r="E44" s="252" t="s">
        <v>1513</v>
      </c>
      <c r="F44" s="252" t="s">
        <v>1319</v>
      </c>
      <c r="G44" s="252" t="s">
        <v>1272</v>
      </c>
      <c r="H44" s="20" t="s">
        <v>1514</v>
      </c>
      <c r="I44" s="23">
        <v>125</v>
      </c>
      <c r="J44" s="252"/>
      <c r="K44" s="252">
        <v>5</v>
      </c>
      <c r="L44" s="252">
        <v>20</v>
      </c>
      <c r="M44" s="286" t="s">
        <v>1437</v>
      </c>
      <c r="N44" s="287">
        <v>44994</v>
      </c>
      <c r="O44" s="252" t="s">
        <v>1515</v>
      </c>
      <c r="P44" s="252" t="s">
        <v>28</v>
      </c>
      <c r="Q44" s="320">
        <v>45208</v>
      </c>
      <c r="R44" s="252" t="s">
        <v>191</v>
      </c>
      <c r="S44" s="320">
        <v>45269</v>
      </c>
    </row>
    <row r="45" spans="1:19" x14ac:dyDescent="0.3">
      <c r="A45" t="s">
        <v>38</v>
      </c>
      <c r="B45" s="27" t="s">
        <v>1497</v>
      </c>
      <c r="C45" s="2" t="s">
        <v>1516</v>
      </c>
      <c r="D45" s="19" t="s">
        <v>1305</v>
      </c>
      <c r="E45" s="2" t="s">
        <v>1517</v>
      </c>
      <c r="F45" s="95">
        <v>45145</v>
      </c>
      <c r="G45" s="2" t="s">
        <v>1355</v>
      </c>
      <c r="H45" s="25" t="s">
        <v>1368</v>
      </c>
      <c r="I45" s="57">
        <v>457.75799999999998</v>
      </c>
      <c r="J45" s="2"/>
      <c r="K45" s="5">
        <v>20</v>
      </c>
      <c r="L45" s="5">
        <v>20</v>
      </c>
      <c r="M45" s="95">
        <v>45177</v>
      </c>
      <c r="N45" s="2" t="s">
        <v>1501</v>
      </c>
      <c r="O45" s="112" t="s">
        <v>1502</v>
      </c>
      <c r="P45" s="2" t="s">
        <v>1518</v>
      </c>
      <c r="Q45" s="2"/>
      <c r="R45" s="18" t="s">
        <v>38</v>
      </c>
      <c r="S45" s="18" t="s">
        <v>1519</v>
      </c>
    </row>
    <row r="46" spans="1:19" x14ac:dyDescent="0.3">
      <c r="A46" t="s">
        <v>38</v>
      </c>
      <c r="B46" s="27" t="s">
        <v>1520</v>
      </c>
      <c r="C46" s="2" t="s">
        <v>1521</v>
      </c>
      <c r="D46" s="95">
        <v>44965</v>
      </c>
      <c r="E46" s="2" t="s">
        <v>1522</v>
      </c>
      <c r="F46" s="95">
        <v>45176</v>
      </c>
      <c r="G46" s="2" t="s">
        <v>1523</v>
      </c>
      <c r="H46" s="25" t="s">
        <v>1356</v>
      </c>
      <c r="I46" s="2">
        <v>220.44</v>
      </c>
      <c r="J46" s="2"/>
      <c r="K46" s="5">
        <v>10</v>
      </c>
      <c r="L46" s="5">
        <v>20</v>
      </c>
      <c r="M46" s="95" t="s">
        <v>1524</v>
      </c>
      <c r="N46" s="95">
        <v>45269</v>
      </c>
      <c r="O46" s="2" t="s">
        <v>1525</v>
      </c>
      <c r="P46" s="2" t="s">
        <v>121</v>
      </c>
      <c r="Q46" s="112">
        <v>45086</v>
      </c>
      <c r="R46" t="s">
        <v>38</v>
      </c>
      <c r="S46" s="137" t="s">
        <v>1526</v>
      </c>
    </row>
    <row r="47" spans="1:19" x14ac:dyDescent="0.3">
      <c r="A47" t="s">
        <v>38</v>
      </c>
      <c r="B47" s="27" t="s">
        <v>1520</v>
      </c>
      <c r="C47" s="2" t="s">
        <v>1521</v>
      </c>
      <c r="D47" s="95">
        <v>44965</v>
      </c>
      <c r="E47" s="2" t="s">
        <v>1527</v>
      </c>
      <c r="F47" s="95">
        <v>45176</v>
      </c>
      <c r="G47" s="2" t="s">
        <v>1523</v>
      </c>
      <c r="H47" s="25" t="s">
        <v>1356</v>
      </c>
      <c r="I47" s="2">
        <v>220.44</v>
      </c>
      <c r="J47" s="2"/>
      <c r="K47" s="5">
        <v>10</v>
      </c>
      <c r="L47" s="5">
        <v>20</v>
      </c>
      <c r="M47" s="95" t="s">
        <v>1454</v>
      </c>
      <c r="N47" s="95">
        <v>45269</v>
      </c>
      <c r="O47" s="2" t="s">
        <v>1525</v>
      </c>
      <c r="P47" s="2" t="s">
        <v>28</v>
      </c>
      <c r="Q47" s="2"/>
      <c r="R47" t="s">
        <v>38</v>
      </c>
      <c r="S47" s="137" t="s">
        <v>1528</v>
      </c>
    </row>
    <row r="48" spans="1:19" x14ac:dyDescent="0.3">
      <c r="A48" t="s">
        <v>60</v>
      </c>
      <c r="B48" s="36" t="s">
        <v>1460</v>
      </c>
      <c r="C48" s="4" t="s">
        <v>1401</v>
      </c>
      <c r="D48" s="345">
        <v>45083</v>
      </c>
      <c r="E48" s="251">
        <v>229473301</v>
      </c>
      <c r="F48" s="252" t="s">
        <v>1319</v>
      </c>
      <c r="G48" s="252" t="s">
        <v>1402</v>
      </c>
      <c r="H48" s="7" t="s">
        <v>1529</v>
      </c>
      <c r="I48" s="8">
        <v>46.66</v>
      </c>
      <c r="J48" s="286">
        <v>44993</v>
      </c>
      <c r="K48" s="252">
        <v>2</v>
      </c>
      <c r="L48" s="252">
        <v>20</v>
      </c>
      <c r="M48" s="345">
        <v>45055</v>
      </c>
      <c r="N48" s="251" t="s">
        <v>1530</v>
      </c>
      <c r="O48" s="252" t="s">
        <v>1531</v>
      </c>
      <c r="P48" s="252" t="s">
        <v>28</v>
      </c>
      <c r="Q48" s="252" t="s">
        <v>1532</v>
      </c>
      <c r="R48" t="s">
        <v>191</v>
      </c>
      <c r="S48" s="333" t="s">
        <v>1528</v>
      </c>
    </row>
    <row r="49" spans="1:19" x14ac:dyDescent="0.3">
      <c r="A49" t="s">
        <v>38</v>
      </c>
      <c r="B49" s="27" t="s">
        <v>1418</v>
      </c>
      <c r="C49" s="2" t="s">
        <v>1533</v>
      </c>
      <c r="D49" s="95">
        <v>44934</v>
      </c>
      <c r="E49" s="2" t="s">
        <v>1534</v>
      </c>
      <c r="F49" s="2" t="s">
        <v>1312</v>
      </c>
      <c r="G49" s="2" t="s">
        <v>1421</v>
      </c>
      <c r="H49" s="25" t="s">
        <v>1203</v>
      </c>
      <c r="I49" s="2">
        <v>168</v>
      </c>
      <c r="J49" s="2"/>
      <c r="K49" s="5">
        <v>7</v>
      </c>
      <c r="L49" s="5">
        <v>20</v>
      </c>
      <c r="M49" s="95">
        <v>45055</v>
      </c>
      <c r="N49" s="95" t="s">
        <v>1535</v>
      </c>
      <c r="O49" s="112">
        <v>44995</v>
      </c>
      <c r="P49" s="2" t="s">
        <v>28</v>
      </c>
      <c r="Q49" s="2" t="s">
        <v>1536</v>
      </c>
      <c r="R49" s="18" t="s">
        <v>38</v>
      </c>
      <c r="S49" s="18" t="s">
        <v>1537</v>
      </c>
    </row>
    <row r="50" spans="1:19" ht="43.2" x14ac:dyDescent="0.3">
      <c r="A50" t="s">
        <v>60</v>
      </c>
      <c r="B50" s="331" t="s">
        <v>1538</v>
      </c>
      <c r="C50" s="362" t="s">
        <v>1539</v>
      </c>
      <c r="D50" s="252"/>
      <c r="E50" s="252"/>
      <c r="F50" s="252"/>
      <c r="G50" s="252"/>
      <c r="H50" s="266" t="s">
        <v>1540</v>
      </c>
      <c r="I50" s="363">
        <v>35350</v>
      </c>
      <c r="J50" s="252"/>
      <c r="K50" s="252">
        <v>1</v>
      </c>
      <c r="L50" s="252"/>
      <c r="M50" s="252" t="s">
        <v>1502</v>
      </c>
      <c r="N50" s="252" t="s">
        <v>1532</v>
      </c>
      <c r="O50" s="252"/>
      <c r="P50" s="252" t="s">
        <v>28</v>
      </c>
      <c r="Q50" s="252" t="s">
        <v>1526</v>
      </c>
      <c r="R50" s="74" t="s">
        <v>191</v>
      </c>
      <c r="S50" s="303" t="s">
        <v>1541</v>
      </c>
    </row>
    <row r="51" spans="1:19" ht="43.2" x14ac:dyDescent="0.3">
      <c r="A51" t="s">
        <v>60</v>
      </c>
      <c r="B51" s="261" t="s">
        <v>1542</v>
      </c>
      <c r="C51" s="252" t="s">
        <v>1543</v>
      </c>
      <c r="D51" s="345">
        <v>45052</v>
      </c>
      <c r="E51" s="252" t="s">
        <v>1544</v>
      </c>
      <c r="F51" s="287">
        <v>44933</v>
      </c>
      <c r="G51" s="252" t="s">
        <v>1232</v>
      </c>
      <c r="H51" s="252" t="s">
        <v>205</v>
      </c>
      <c r="I51" s="252">
        <v>75</v>
      </c>
      <c r="J51" s="252"/>
      <c r="K51" s="252">
        <v>3</v>
      </c>
      <c r="L51" s="252">
        <v>20</v>
      </c>
      <c r="M51" s="309">
        <v>45207</v>
      </c>
      <c r="N51" s="287" t="s">
        <v>1454</v>
      </c>
      <c r="O51" s="287">
        <v>45178</v>
      </c>
      <c r="P51" s="252" t="s">
        <v>1545</v>
      </c>
      <c r="Q51" s="252" t="s">
        <v>1463</v>
      </c>
      <c r="R51" s="359" t="s">
        <v>191</v>
      </c>
      <c r="S51" s="282" t="s">
        <v>1541</v>
      </c>
    </row>
    <row r="52" spans="1:19" x14ac:dyDescent="0.3">
      <c r="A52" t="s">
        <v>344</v>
      </c>
      <c r="B52" s="20" t="s">
        <v>1546</v>
      </c>
      <c r="C52" s="2" t="s">
        <v>1547</v>
      </c>
      <c r="D52" s="112">
        <v>45055</v>
      </c>
      <c r="E52" s="2" t="s">
        <v>1548</v>
      </c>
      <c r="F52" s="2"/>
      <c r="G52" s="2"/>
      <c r="H52" s="20" t="s">
        <v>1549</v>
      </c>
      <c r="I52" s="2">
        <v>249.77</v>
      </c>
      <c r="J52" s="2"/>
      <c r="K52" s="5">
        <v>6</v>
      </c>
      <c r="L52" s="2"/>
      <c r="M52" s="2" t="s">
        <v>1550</v>
      </c>
      <c r="N52" s="2" t="s">
        <v>1525</v>
      </c>
      <c r="O52" s="2"/>
      <c r="P52" s="2" t="s">
        <v>121</v>
      </c>
      <c r="Q52" s="2" t="s">
        <v>1525</v>
      </c>
    </row>
    <row r="53" spans="1:19" ht="28.8" x14ac:dyDescent="0.3">
      <c r="A53" t="s">
        <v>60</v>
      </c>
      <c r="B53" s="261" t="s">
        <v>1551</v>
      </c>
      <c r="C53" s="252" t="s">
        <v>1552</v>
      </c>
      <c r="D53" s="252"/>
      <c r="E53" s="252" t="s">
        <v>1553</v>
      </c>
      <c r="F53" s="252" t="s">
        <v>1400</v>
      </c>
      <c r="G53" s="252" t="s">
        <v>1554</v>
      </c>
      <c r="H53" s="252" t="s">
        <v>1398</v>
      </c>
      <c r="I53" s="252">
        <v>96</v>
      </c>
      <c r="J53" s="252"/>
      <c r="K53" s="252">
        <v>4</v>
      </c>
      <c r="L53" s="252">
        <v>20</v>
      </c>
      <c r="M53" s="286">
        <v>45116</v>
      </c>
      <c r="N53" s="252" t="s">
        <v>1536</v>
      </c>
      <c r="O53" s="252" t="s">
        <v>1555</v>
      </c>
      <c r="P53" s="252" t="s">
        <v>28</v>
      </c>
      <c r="Q53" s="252" t="s">
        <v>1537</v>
      </c>
      <c r="R53" s="282" t="s">
        <v>191</v>
      </c>
      <c r="S53" s="282" t="s">
        <v>1525</v>
      </c>
    </row>
    <row r="54" spans="1:19" x14ac:dyDescent="0.3">
      <c r="A54" t="s">
        <v>38</v>
      </c>
      <c r="B54" s="36" t="s">
        <v>1556</v>
      </c>
      <c r="C54" s="21" t="s">
        <v>1557</v>
      </c>
      <c r="D54" s="95">
        <v>44965</v>
      </c>
      <c r="E54" s="6" t="s">
        <v>1558</v>
      </c>
      <c r="F54" s="95">
        <v>45053</v>
      </c>
      <c r="G54" s="2" t="s">
        <v>1421</v>
      </c>
      <c r="H54" s="7" t="s">
        <v>1422</v>
      </c>
      <c r="I54" s="318">
        <v>190.9</v>
      </c>
      <c r="J54" s="2"/>
      <c r="K54" s="5">
        <v>8</v>
      </c>
      <c r="L54" s="5">
        <v>20</v>
      </c>
      <c r="M54" s="95">
        <v>45147</v>
      </c>
      <c r="N54" s="95" t="s">
        <v>1532</v>
      </c>
      <c r="O54" s="112">
        <v>44995</v>
      </c>
      <c r="P54" s="2" t="s">
        <v>28</v>
      </c>
      <c r="Q54" s="95">
        <v>44994</v>
      </c>
      <c r="R54" t="s">
        <v>38</v>
      </c>
      <c r="S54" t="s">
        <v>1559</v>
      </c>
    </row>
    <row r="55" spans="1:19" x14ac:dyDescent="0.3">
      <c r="A55" t="s">
        <v>49</v>
      </c>
      <c r="B55" s="25" t="s">
        <v>124</v>
      </c>
      <c r="C55" s="334" t="s">
        <v>1560</v>
      </c>
      <c r="D55" s="219" t="s">
        <v>1561</v>
      </c>
      <c r="E55" s="252" t="s">
        <v>1562</v>
      </c>
      <c r="F55" t="s">
        <v>1537</v>
      </c>
      <c r="G55" s="328" t="s">
        <v>1296</v>
      </c>
      <c r="H55" t="s">
        <v>127</v>
      </c>
      <c r="I55">
        <v>30</v>
      </c>
      <c r="K55" s="328">
        <v>1</v>
      </c>
      <c r="M55" t="s">
        <v>1525</v>
      </c>
      <c r="N55" t="s">
        <v>1555</v>
      </c>
      <c r="O55" t="s">
        <v>1559</v>
      </c>
      <c r="P55" s="328" t="s">
        <v>121</v>
      </c>
      <c r="Q55" s="328" t="s">
        <v>1537</v>
      </c>
      <c r="R55" t="s">
        <v>49</v>
      </c>
      <c r="S55" s="282" t="s">
        <v>1559</v>
      </c>
    </row>
    <row r="56" spans="1:19" ht="43.2" x14ac:dyDescent="0.3">
      <c r="A56" t="s">
        <v>60</v>
      </c>
      <c r="B56" s="261" t="s">
        <v>1563</v>
      </c>
      <c r="C56" s="252" t="s">
        <v>486</v>
      </c>
      <c r="D56" s="252"/>
      <c r="E56" s="252"/>
      <c r="F56" s="252"/>
      <c r="G56" s="252"/>
      <c r="H56" s="252" t="s">
        <v>1564</v>
      </c>
      <c r="I56" s="252">
        <v>34</v>
      </c>
      <c r="J56" s="252"/>
      <c r="K56" s="252"/>
      <c r="L56" s="252"/>
      <c r="M56" s="252"/>
      <c r="N56" s="252" t="s">
        <v>1525</v>
      </c>
      <c r="O56" s="252"/>
      <c r="P56" s="252" t="s">
        <v>28</v>
      </c>
      <c r="Q56" s="252"/>
      <c r="R56" t="s">
        <v>191</v>
      </c>
      <c r="S56" s="303" t="s">
        <v>1531</v>
      </c>
    </row>
    <row r="57" spans="1:19" ht="28.8" x14ac:dyDescent="0.3">
      <c r="A57" t="s">
        <v>60</v>
      </c>
      <c r="B57" s="261" t="s">
        <v>1460</v>
      </c>
      <c r="C57" s="252" t="s">
        <v>1565</v>
      </c>
      <c r="D57" s="286">
        <v>45207</v>
      </c>
      <c r="E57" s="251">
        <v>230467490</v>
      </c>
      <c r="F57" s="252" t="s">
        <v>1415</v>
      </c>
      <c r="G57" s="252" t="s">
        <v>1462</v>
      </c>
      <c r="H57" s="252" t="s">
        <v>715</v>
      </c>
      <c r="I57" s="252">
        <v>125.65</v>
      </c>
      <c r="J57" s="252"/>
      <c r="K57" s="252">
        <v>5</v>
      </c>
      <c r="L57" s="252">
        <v>20</v>
      </c>
      <c r="M57" s="286">
        <v>45269</v>
      </c>
      <c r="N57" s="252" t="s">
        <v>1502</v>
      </c>
      <c r="O57" s="286">
        <v>45148</v>
      </c>
      <c r="P57" s="252" t="s">
        <v>28</v>
      </c>
      <c r="Q57" s="252" t="s">
        <v>1555</v>
      </c>
      <c r="R57" t="s">
        <v>191</v>
      </c>
      <c r="S57" s="303" t="s">
        <v>1531</v>
      </c>
    </row>
    <row r="58" spans="1:19" x14ac:dyDescent="0.3">
      <c r="A58" t="s">
        <v>38</v>
      </c>
      <c r="B58" s="27" t="s">
        <v>1497</v>
      </c>
      <c r="C58" t="s">
        <v>1566</v>
      </c>
      <c r="D58" s="2" t="s">
        <v>1481</v>
      </c>
      <c r="E58" s="2" t="s">
        <v>1567</v>
      </c>
      <c r="F58" s="95">
        <v>44993</v>
      </c>
      <c r="G58" s="2" t="s">
        <v>1355</v>
      </c>
      <c r="H58" s="25" t="s">
        <v>1368</v>
      </c>
      <c r="I58" s="2">
        <v>468.77</v>
      </c>
      <c r="J58" s="2"/>
      <c r="K58" s="5">
        <v>20</v>
      </c>
      <c r="L58" s="5">
        <v>20</v>
      </c>
      <c r="M58" s="95" t="s">
        <v>1525</v>
      </c>
      <c r="N58" s="95" t="s">
        <v>1525</v>
      </c>
      <c r="O58" s="112">
        <v>45148</v>
      </c>
      <c r="P58" s="2" t="s">
        <v>28</v>
      </c>
      <c r="Q58" s="2" t="s">
        <v>1555</v>
      </c>
      <c r="R58" t="s">
        <v>38</v>
      </c>
      <c r="S58" s="303" t="s">
        <v>1531</v>
      </c>
    </row>
    <row r="59" spans="1:19" ht="41.4" x14ac:dyDescent="0.3">
      <c r="A59" t="s">
        <v>123</v>
      </c>
      <c r="B59" s="304" t="s">
        <v>166</v>
      </c>
      <c r="C59" s="364" t="s">
        <v>1568</v>
      </c>
      <c r="D59" s="219" t="s">
        <v>1569</v>
      </c>
      <c r="E59" s="252" t="s">
        <v>1570</v>
      </c>
      <c r="F59" t="s">
        <v>1559</v>
      </c>
      <c r="G59" t="s">
        <v>1571</v>
      </c>
      <c r="H59" s="249" t="s">
        <v>1572</v>
      </c>
      <c r="I59" s="250">
        <v>60</v>
      </c>
      <c r="N59" s="286">
        <v>44936</v>
      </c>
      <c r="P59" t="s">
        <v>1573</v>
      </c>
      <c r="Q59" t="s">
        <v>1574</v>
      </c>
      <c r="R59" t="s">
        <v>1575</v>
      </c>
      <c r="S59" s="137">
        <v>44995</v>
      </c>
    </row>
    <row r="60" spans="1:19" x14ac:dyDescent="0.3">
      <c r="A60" t="s">
        <v>38</v>
      </c>
      <c r="B60" s="36" t="s">
        <v>1486</v>
      </c>
      <c r="C60" s="6" t="s">
        <v>1576</v>
      </c>
      <c r="D60" s="95">
        <v>45114</v>
      </c>
      <c r="E60" s="19">
        <v>229187396</v>
      </c>
      <c r="F60" s="95">
        <v>44965</v>
      </c>
      <c r="G60" s="2" t="s">
        <v>1427</v>
      </c>
      <c r="H60" s="20" t="s">
        <v>1368</v>
      </c>
      <c r="I60" s="10">
        <v>629.85</v>
      </c>
      <c r="J60" s="2"/>
      <c r="K60" s="5">
        <v>27</v>
      </c>
      <c r="L60" s="5">
        <v>20</v>
      </c>
      <c r="M60" s="19" t="s">
        <v>1532</v>
      </c>
      <c r="N60" s="95">
        <v>44967</v>
      </c>
      <c r="O60" s="112" t="s">
        <v>1577</v>
      </c>
      <c r="P60" s="2" t="s">
        <v>28</v>
      </c>
      <c r="Q60" s="112">
        <v>45208</v>
      </c>
      <c r="R60" t="s">
        <v>1578</v>
      </c>
      <c r="S60" s="137">
        <v>44995</v>
      </c>
    </row>
    <row r="61" spans="1:19" ht="43.2" x14ac:dyDescent="0.3">
      <c r="A61" t="s">
        <v>123</v>
      </c>
      <c r="B61" s="123" t="s">
        <v>384</v>
      </c>
      <c r="C61" s="364" t="s">
        <v>1579</v>
      </c>
      <c r="D61" s="219" t="s">
        <v>1580</v>
      </c>
      <c r="E61" s="219" t="s">
        <v>1581</v>
      </c>
      <c r="F61" s="252" t="s">
        <v>1582</v>
      </c>
      <c r="G61" s="2" t="s">
        <v>1571</v>
      </c>
      <c r="H61" s="249" t="s">
        <v>1583</v>
      </c>
      <c r="I61" s="250">
        <v>54</v>
      </c>
      <c r="J61" s="2"/>
      <c r="K61" s="2"/>
      <c r="L61" s="2"/>
      <c r="M61" s="112">
        <v>45026</v>
      </c>
      <c r="N61" s="2"/>
      <c r="O61" s="2"/>
      <c r="P61" s="2" t="s">
        <v>1584</v>
      </c>
      <c r="Q61" s="112">
        <v>44995</v>
      </c>
      <c r="R61" t="s">
        <v>123</v>
      </c>
      <c r="S61" s="137">
        <v>45087</v>
      </c>
    </row>
    <row r="62" spans="1:19" ht="41.4" x14ac:dyDescent="0.3">
      <c r="A62" t="s">
        <v>123</v>
      </c>
      <c r="B62" s="304" t="s">
        <v>166</v>
      </c>
      <c r="C62" s="367" t="s">
        <v>1585</v>
      </c>
      <c r="D62" s="250" t="s">
        <v>1586</v>
      </c>
      <c r="E62" s="250">
        <v>60</v>
      </c>
      <c r="F62" s="112">
        <v>44967</v>
      </c>
      <c r="G62" s="2" t="s">
        <v>1571</v>
      </c>
      <c r="H62" s="366" t="s">
        <v>1587</v>
      </c>
      <c r="I62" s="250">
        <v>29</v>
      </c>
      <c r="J62" s="2"/>
      <c r="K62" s="2">
        <v>1</v>
      </c>
      <c r="L62" s="2"/>
      <c r="M62" s="112">
        <v>45087</v>
      </c>
      <c r="N62" s="2"/>
      <c r="O62" s="2"/>
      <c r="P62" s="2" t="s">
        <v>1588</v>
      </c>
      <c r="Q62" s="112">
        <v>45087</v>
      </c>
      <c r="R62" t="s">
        <v>123</v>
      </c>
      <c r="S62" s="137">
        <v>45117</v>
      </c>
    </row>
    <row r="63" spans="1:19" x14ac:dyDescent="0.3">
      <c r="A63" t="s">
        <v>55</v>
      </c>
      <c r="B63" s="27" t="s">
        <v>1589</v>
      </c>
      <c r="C63" t="s">
        <v>1590</v>
      </c>
      <c r="D63" s="95">
        <v>44993</v>
      </c>
      <c r="E63" s="2" t="s">
        <v>1591</v>
      </c>
      <c r="F63" s="2" t="s">
        <v>1330</v>
      </c>
      <c r="G63" s="2" t="s">
        <v>1592</v>
      </c>
      <c r="H63" s="25" t="s">
        <v>1368</v>
      </c>
      <c r="I63" s="68">
        <v>115</v>
      </c>
      <c r="J63" s="2"/>
      <c r="K63" s="5">
        <v>5</v>
      </c>
      <c r="L63" s="5">
        <v>20</v>
      </c>
      <c r="M63" s="95">
        <v>45147</v>
      </c>
      <c r="N63" s="95" t="s">
        <v>1559</v>
      </c>
      <c r="O63" s="112">
        <v>45209</v>
      </c>
      <c r="P63" s="2" t="s">
        <v>28</v>
      </c>
      <c r="Q63" s="2" t="s">
        <v>1476</v>
      </c>
      <c r="R63" s="18" t="s">
        <v>55</v>
      </c>
      <c r="S63" s="138">
        <v>45179</v>
      </c>
    </row>
    <row r="64" spans="1:19" ht="57.6" x14ac:dyDescent="0.3">
      <c r="A64" t="s">
        <v>60</v>
      </c>
      <c r="B64" s="261" t="s">
        <v>1593</v>
      </c>
      <c r="C64" s="252"/>
      <c r="D64" s="252"/>
      <c r="E64" s="252"/>
      <c r="F64" s="252"/>
      <c r="G64" s="252"/>
      <c r="H64" s="252" t="s">
        <v>1594</v>
      </c>
      <c r="I64" s="252">
        <v>3</v>
      </c>
      <c r="J64" s="252"/>
      <c r="K64" s="252"/>
      <c r="L64" s="252"/>
      <c r="M64" s="252"/>
      <c r="N64" s="252"/>
      <c r="O64" s="252"/>
      <c r="P64" s="252" t="s">
        <v>1595</v>
      </c>
      <c r="Q64" s="252"/>
      <c r="R64" t="s">
        <v>1596</v>
      </c>
      <c r="S64" s="137">
        <v>45240</v>
      </c>
    </row>
    <row r="65" spans="1:20" x14ac:dyDescent="0.3">
      <c r="A65" t="s">
        <v>55</v>
      </c>
      <c r="B65" s="36" t="s">
        <v>864</v>
      </c>
      <c r="C65" s="2" t="s">
        <v>1597</v>
      </c>
      <c r="D65" s="2"/>
      <c r="E65" s="2" t="s">
        <v>1598</v>
      </c>
      <c r="F65" s="112">
        <v>45087</v>
      </c>
      <c r="G65" s="2" t="s">
        <v>1599</v>
      </c>
      <c r="H65" s="20" t="s">
        <v>865</v>
      </c>
      <c r="I65" s="2">
        <v>33</v>
      </c>
      <c r="J65" s="2"/>
      <c r="K65" s="5">
        <v>1</v>
      </c>
      <c r="L65" s="2"/>
      <c r="M65" s="112">
        <v>45270</v>
      </c>
      <c r="N65" s="19" t="s">
        <v>1600</v>
      </c>
      <c r="O65" s="2"/>
      <c r="P65" s="2" t="s">
        <v>28</v>
      </c>
      <c r="Q65" s="2"/>
      <c r="R65" t="s">
        <v>55</v>
      </c>
      <c r="S65" s="137">
        <v>45240</v>
      </c>
    </row>
    <row r="66" spans="1:20" x14ac:dyDescent="0.3">
      <c r="A66" t="s">
        <v>60</v>
      </c>
      <c r="B66" s="252" t="s">
        <v>895</v>
      </c>
      <c r="C66" s="252" t="s">
        <v>1601</v>
      </c>
      <c r="D66" s="252" t="s">
        <v>1555</v>
      </c>
      <c r="E66" s="251">
        <v>524304391</v>
      </c>
      <c r="F66" s="251" t="s">
        <v>1602</v>
      </c>
      <c r="G66" s="252" t="s">
        <v>1340</v>
      </c>
      <c r="H66" s="252" t="s">
        <v>1603</v>
      </c>
      <c r="I66" s="252">
        <v>4</v>
      </c>
      <c r="J66" s="252"/>
      <c r="K66" s="252"/>
      <c r="L66" s="252"/>
      <c r="M66" s="287">
        <v>45209</v>
      </c>
      <c r="N66" s="287" t="s">
        <v>1604</v>
      </c>
      <c r="O66" s="252"/>
      <c r="P66" s="252" t="s">
        <v>121</v>
      </c>
      <c r="Q66" s="286">
        <v>45209</v>
      </c>
      <c r="R66" t="s">
        <v>55</v>
      </c>
      <c r="S66" s="137">
        <v>45240</v>
      </c>
    </row>
    <row r="67" spans="1:20" ht="41.4" x14ac:dyDescent="0.3">
      <c r="A67" t="s">
        <v>123</v>
      </c>
      <c r="B67" s="304" t="s">
        <v>166</v>
      </c>
      <c r="C67" s="45" t="s">
        <v>1605</v>
      </c>
      <c r="D67" s="219" t="s">
        <v>1586</v>
      </c>
      <c r="E67" s="219">
        <v>61</v>
      </c>
      <c r="F67" s="112">
        <v>45056</v>
      </c>
      <c r="G67" s="2" t="s">
        <v>1571</v>
      </c>
      <c r="H67" s="365" t="s">
        <v>1606</v>
      </c>
      <c r="I67" s="250">
        <v>30</v>
      </c>
      <c r="J67" s="2"/>
      <c r="K67" s="2">
        <v>1</v>
      </c>
      <c r="L67" s="2"/>
      <c r="M67" s="112">
        <v>45240</v>
      </c>
      <c r="N67" s="112">
        <v>45270</v>
      </c>
      <c r="O67" s="2">
        <v>2</v>
      </c>
      <c r="P67" s="2" t="s">
        <v>1138</v>
      </c>
      <c r="Q67" s="112">
        <v>45148</v>
      </c>
      <c r="R67" t="s">
        <v>123</v>
      </c>
      <c r="S67" t="s">
        <v>1577</v>
      </c>
    </row>
    <row r="68" spans="1:20" ht="41.4" x14ac:dyDescent="0.3">
      <c r="A68" t="s">
        <v>123</v>
      </c>
      <c r="B68" s="304" t="s">
        <v>166</v>
      </c>
      <c r="C68" s="45" t="s">
        <v>1605</v>
      </c>
      <c r="D68" s="219" t="s">
        <v>1586</v>
      </c>
      <c r="E68" s="2">
        <v>62</v>
      </c>
      <c r="F68" s="112">
        <v>45087</v>
      </c>
      <c r="G68" s="2" t="s">
        <v>1571</v>
      </c>
      <c r="H68" s="365" t="s">
        <v>1606</v>
      </c>
      <c r="I68" s="250">
        <v>30</v>
      </c>
      <c r="J68" s="2"/>
      <c r="K68" s="2">
        <v>1</v>
      </c>
      <c r="L68" s="2"/>
      <c r="M68" s="112">
        <v>45240</v>
      </c>
      <c r="N68" s="112">
        <v>45270</v>
      </c>
      <c r="O68" s="2">
        <v>2</v>
      </c>
      <c r="P68" s="2" t="s">
        <v>28</v>
      </c>
      <c r="Q68" s="2"/>
      <c r="R68" t="s">
        <v>123</v>
      </c>
      <c r="S68" t="s">
        <v>1577</v>
      </c>
      <c r="T68" t="s">
        <v>1607</v>
      </c>
    </row>
    <row r="69" spans="1:20" x14ac:dyDescent="0.3">
      <c r="A69" t="s">
        <v>38</v>
      </c>
      <c r="B69" s="36" t="s">
        <v>1608</v>
      </c>
      <c r="C69" s="2" t="s">
        <v>1609</v>
      </c>
      <c r="D69" s="112">
        <v>45056</v>
      </c>
      <c r="E69" s="2" t="s">
        <v>1610</v>
      </c>
      <c r="F69" s="112">
        <v>45209</v>
      </c>
      <c r="G69" s="2" t="s">
        <v>1340</v>
      </c>
      <c r="H69" s="20" t="s">
        <v>760</v>
      </c>
      <c r="I69" s="2">
        <v>24</v>
      </c>
      <c r="J69" s="2"/>
      <c r="K69" s="5">
        <v>1</v>
      </c>
      <c r="L69" s="2"/>
      <c r="M69" s="95">
        <v>45209</v>
      </c>
      <c r="N69" s="2" t="s">
        <v>1611</v>
      </c>
      <c r="O69" s="2" t="s">
        <v>1612</v>
      </c>
      <c r="P69" s="2" t="s">
        <v>121</v>
      </c>
      <c r="Q69" s="2" t="s">
        <v>1612</v>
      </c>
      <c r="R69" s="18" t="s">
        <v>38</v>
      </c>
      <c r="S69" s="18" t="s">
        <v>1613</v>
      </c>
    </row>
    <row r="70" spans="1:20" x14ac:dyDescent="0.3">
      <c r="A70" t="s">
        <v>55</v>
      </c>
      <c r="B70" s="27" t="s">
        <v>1614</v>
      </c>
      <c r="C70" s="2" t="s">
        <v>1615</v>
      </c>
      <c r="D70" s="95">
        <v>44964</v>
      </c>
      <c r="E70" s="2" t="s">
        <v>1616</v>
      </c>
      <c r="F70" s="2" t="s">
        <v>1617</v>
      </c>
      <c r="G70" s="2" t="s">
        <v>1618</v>
      </c>
      <c r="H70" s="25" t="s">
        <v>1619</v>
      </c>
      <c r="I70" s="2">
        <f>8+2</f>
        <v>10</v>
      </c>
      <c r="J70" s="2"/>
      <c r="K70" s="5">
        <v>1</v>
      </c>
      <c r="L70" s="5">
        <v>20</v>
      </c>
      <c r="M70" s="95">
        <v>44995</v>
      </c>
      <c r="N70" s="95" t="s">
        <v>1620</v>
      </c>
      <c r="O70" s="2">
        <v>14</v>
      </c>
      <c r="P70" s="2" t="s">
        <v>28</v>
      </c>
      <c r="Q70" s="2" t="s">
        <v>1476</v>
      </c>
      <c r="R70" s="18" t="s">
        <v>55</v>
      </c>
      <c r="S70" s="18" t="s">
        <v>1621</v>
      </c>
    </row>
    <row r="71" spans="1:20" x14ac:dyDescent="0.3">
      <c r="A71" t="s">
        <v>38</v>
      </c>
      <c r="B71" s="36" t="s">
        <v>1622</v>
      </c>
      <c r="C71" s="2" t="s">
        <v>1623</v>
      </c>
      <c r="D71" s="95">
        <v>44994</v>
      </c>
      <c r="E71" t="s">
        <v>1624</v>
      </c>
      <c r="F71" s="2" t="s">
        <v>1535</v>
      </c>
      <c r="G71" s="2" t="s">
        <v>1232</v>
      </c>
      <c r="H71" t="s">
        <v>1624</v>
      </c>
      <c r="I71" s="2">
        <v>7</v>
      </c>
      <c r="J71" s="2"/>
      <c r="K71" s="5">
        <v>1</v>
      </c>
      <c r="L71" s="5">
        <v>20</v>
      </c>
      <c r="M71" s="19" t="s">
        <v>1625</v>
      </c>
      <c r="N71" s="19" t="s">
        <v>1626</v>
      </c>
      <c r="O71" s="112">
        <v>45149</v>
      </c>
      <c r="P71" s="2" t="s">
        <v>28</v>
      </c>
      <c r="Q71" s="2"/>
      <c r="R71" s="74" t="s">
        <v>38</v>
      </c>
      <c r="S71" t="s">
        <v>1627</v>
      </c>
    </row>
    <row r="72" spans="1:20" x14ac:dyDescent="0.3">
      <c r="A72" t="s">
        <v>38</v>
      </c>
      <c r="B72" s="36" t="s">
        <v>989</v>
      </c>
      <c r="C72" s="2" t="s">
        <v>1628</v>
      </c>
      <c r="D72" s="95">
        <v>44994</v>
      </c>
      <c r="E72" s="2" t="s">
        <v>1629</v>
      </c>
      <c r="F72" s="2" t="s">
        <v>1515</v>
      </c>
      <c r="G72" s="2" t="s">
        <v>1318</v>
      </c>
      <c r="H72" s="20" t="s">
        <v>152</v>
      </c>
      <c r="I72" s="2">
        <v>20</v>
      </c>
      <c r="J72" s="2"/>
      <c r="K72" s="5">
        <v>1</v>
      </c>
      <c r="L72" s="5">
        <v>20</v>
      </c>
      <c r="M72" s="19" t="s">
        <v>1531</v>
      </c>
      <c r="N72" s="19" t="s">
        <v>1630</v>
      </c>
      <c r="O72" s="112">
        <v>44937</v>
      </c>
      <c r="P72" s="2" t="s">
        <v>28</v>
      </c>
      <c r="Q72" s="95">
        <v>45179</v>
      </c>
      <c r="R72" s="74" t="s">
        <v>38</v>
      </c>
      <c r="S72" t="s">
        <v>1627</v>
      </c>
    </row>
    <row r="73" spans="1:20" ht="43.2" x14ac:dyDescent="0.3">
      <c r="A73" t="s">
        <v>60</v>
      </c>
      <c r="B73" s="261" t="s">
        <v>157</v>
      </c>
      <c r="C73" s="252" t="s">
        <v>1631</v>
      </c>
      <c r="D73" s="287">
        <v>45025</v>
      </c>
      <c r="E73" s="2" t="s">
        <v>1632</v>
      </c>
      <c r="F73" s="287">
        <v>45025</v>
      </c>
      <c r="G73" s="252" t="s">
        <v>1272</v>
      </c>
      <c r="H73" s="252" t="s">
        <v>1633</v>
      </c>
      <c r="I73" s="252">
        <v>125</v>
      </c>
      <c r="J73" s="252"/>
      <c r="K73" s="252">
        <v>5</v>
      </c>
      <c r="L73" s="252">
        <v>20</v>
      </c>
      <c r="M73" s="287">
        <v>44995</v>
      </c>
      <c r="N73" s="287" t="s">
        <v>1620</v>
      </c>
      <c r="O73" s="286">
        <v>45057</v>
      </c>
      <c r="P73" s="252" t="s">
        <v>28</v>
      </c>
      <c r="Q73" s="286">
        <v>44936</v>
      </c>
      <c r="R73" s="315" t="s">
        <v>1634</v>
      </c>
      <c r="S73" t="s">
        <v>1627</v>
      </c>
    </row>
    <row r="74" spans="1:20" x14ac:dyDescent="0.3">
      <c r="A74" t="s">
        <v>60</v>
      </c>
      <c r="B74" s="36" t="s">
        <v>989</v>
      </c>
      <c r="C74" s="2" t="s">
        <v>1635</v>
      </c>
      <c r="D74" s="95">
        <v>44994</v>
      </c>
      <c r="E74" s="2" t="s">
        <v>1636</v>
      </c>
      <c r="F74" s="2" t="s">
        <v>1515</v>
      </c>
      <c r="G74" s="2" t="s">
        <v>1318</v>
      </c>
      <c r="H74" s="20" t="s">
        <v>152</v>
      </c>
      <c r="I74" s="2">
        <v>20</v>
      </c>
      <c r="J74" s="2"/>
      <c r="K74" s="44">
        <v>1</v>
      </c>
      <c r="L74" s="44">
        <v>20</v>
      </c>
      <c r="M74" s="19" t="s">
        <v>1531</v>
      </c>
      <c r="N74" s="95" t="s">
        <v>1630</v>
      </c>
      <c r="O74" s="112">
        <v>44937</v>
      </c>
      <c r="P74" s="2" t="s">
        <v>28</v>
      </c>
      <c r="Q74" s="2" t="s">
        <v>1613</v>
      </c>
      <c r="R74" s="74" t="s">
        <v>191</v>
      </c>
      <c r="S74" s="74" t="s">
        <v>1627</v>
      </c>
    </row>
    <row r="75" spans="1:20" x14ac:dyDescent="0.3">
      <c r="A75" t="s">
        <v>38</v>
      </c>
      <c r="B75" s="369" t="s">
        <v>1637</v>
      </c>
      <c r="C75" s="6" t="s">
        <v>1638</v>
      </c>
      <c r="D75" s="95">
        <v>45177</v>
      </c>
      <c r="E75" s="18" t="s">
        <v>1639</v>
      </c>
      <c r="F75" s="2" t="s">
        <v>1483</v>
      </c>
      <c r="G75" s="2" t="s">
        <v>1640</v>
      </c>
      <c r="H75" s="20" t="s">
        <v>1641</v>
      </c>
      <c r="I75" s="318">
        <v>516.36500000000001</v>
      </c>
      <c r="J75" s="2"/>
      <c r="K75" s="5">
        <v>24</v>
      </c>
      <c r="L75" s="5">
        <v>20</v>
      </c>
      <c r="M75" s="4" t="s">
        <v>1626</v>
      </c>
      <c r="N75" s="95">
        <v>44937</v>
      </c>
      <c r="O75" s="2" t="s">
        <v>1642</v>
      </c>
      <c r="P75" s="2" t="s">
        <v>28</v>
      </c>
      <c r="Q75" s="2" t="s">
        <v>1541</v>
      </c>
      <c r="R75" s="18" t="s">
        <v>38</v>
      </c>
      <c r="S75" s="138">
        <v>45180</v>
      </c>
    </row>
    <row r="76" spans="1:20" x14ac:dyDescent="0.3">
      <c r="A76" t="s">
        <v>60</v>
      </c>
      <c r="B76" s="261" t="s">
        <v>1542</v>
      </c>
      <c r="C76" s="2" t="s">
        <v>1643</v>
      </c>
      <c r="D76" s="251" t="s">
        <v>1301</v>
      </c>
      <c r="E76" s="252" t="s">
        <v>1644</v>
      </c>
      <c r="F76" s="287">
        <v>45055</v>
      </c>
      <c r="G76" s="252" t="s">
        <v>1645</v>
      </c>
      <c r="H76" s="252" t="s">
        <v>205</v>
      </c>
      <c r="I76" s="252">
        <v>100</v>
      </c>
      <c r="J76" s="252"/>
      <c r="K76" s="252">
        <v>4</v>
      </c>
      <c r="L76" s="252">
        <v>20</v>
      </c>
      <c r="M76" s="251" t="s">
        <v>1612</v>
      </c>
      <c r="N76" s="287">
        <v>45088</v>
      </c>
      <c r="O76" s="252" t="s">
        <v>1646</v>
      </c>
      <c r="P76" s="252" t="s">
        <v>28</v>
      </c>
      <c r="Q76" s="252"/>
      <c r="R76" s="282" t="s">
        <v>191</v>
      </c>
      <c r="S76" s="320">
        <v>45180</v>
      </c>
    </row>
    <row r="77" spans="1:20" ht="28.8" x14ac:dyDescent="0.3">
      <c r="A77" t="s">
        <v>60</v>
      </c>
      <c r="B77" s="261" t="s">
        <v>240</v>
      </c>
      <c r="C77" s="252" t="s">
        <v>1647</v>
      </c>
      <c r="D77" s="287">
        <v>45148</v>
      </c>
      <c r="E77" s="302">
        <v>230566629</v>
      </c>
      <c r="F77" s="287">
        <v>45208</v>
      </c>
      <c r="G77" s="252" t="s">
        <v>1462</v>
      </c>
      <c r="H77" s="252" t="s">
        <v>715</v>
      </c>
      <c r="I77" s="252">
        <v>293.95999999999998</v>
      </c>
      <c r="J77" s="252"/>
      <c r="K77" s="252">
        <v>12</v>
      </c>
      <c r="L77" s="252">
        <v>20</v>
      </c>
      <c r="M77" s="287">
        <v>45209</v>
      </c>
      <c r="N77" s="252" t="s">
        <v>1620</v>
      </c>
      <c r="O77" s="286">
        <v>45271</v>
      </c>
      <c r="P77" s="252" t="s">
        <v>28</v>
      </c>
      <c r="Q77" s="252" t="s">
        <v>1648</v>
      </c>
      <c r="R77" s="282" t="s">
        <v>191</v>
      </c>
      <c r="S77" s="320">
        <v>45088</v>
      </c>
    </row>
    <row r="78" spans="1:20" x14ac:dyDescent="0.3">
      <c r="A78" t="s">
        <v>60</v>
      </c>
      <c r="B78" s="261" t="s">
        <v>240</v>
      </c>
      <c r="C78" s="2" t="s">
        <v>1649</v>
      </c>
      <c r="D78" s="251" t="s">
        <v>1574</v>
      </c>
      <c r="E78" s="19">
        <v>231065924</v>
      </c>
      <c r="F78" s="287">
        <v>45208</v>
      </c>
      <c r="G78" s="252" t="s">
        <v>1462</v>
      </c>
      <c r="H78" s="252" t="s">
        <v>715</v>
      </c>
      <c r="I78" s="252">
        <v>247.38</v>
      </c>
      <c r="J78" s="252"/>
      <c r="K78" s="252">
        <v>10</v>
      </c>
      <c r="L78" s="252">
        <v>20</v>
      </c>
      <c r="M78" s="287">
        <v>45209</v>
      </c>
      <c r="N78" s="287" t="s">
        <v>1620</v>
      </c>
      <c r="O78" s="286">
        <v>45271</v>
      </c>
      <c r="P78" s="252" t="s">
        <v>28</v>
      </c>
      <c r="Q78" s="252"/>
      <c r="R78" s="282" t="s">
        <v>191</v>
      </c>
      <c r="S78" s="320">
        <v>45057</v>
      </c>
    </row>
    <row r="79" spans="1:20" ht="28.8" x14ac:dyDescent="0.3">
      <c r="A79" t="s">
        <v>60</v>
      </c>
      <c r="B79" s="261" t="s">
        <v>1650</v>
      </c>
      <c r="C79" s="252" t="s">
        <v>1651</v>
      </c>
      <c r="D79" s="286">
        <v>45179</v>
      </c>
      <c r="E79" s="252" t="s">
        <v>1652</v>
      </c>
      <c r="F79" s="252" t="s">
        <v>1653</v>
      </c>
      <c r="G79" s="252" t="s">
        <v>1296</v>
      </c>
      <c r="H79" s="252" t="s">
        <v>1654</v>
      </c>
      <c r="I79" s="252">
        <v>61.787999999999997</v>
      </c>
      <c r="J79" s="252"/>
      <c r="K79" s="252">
        <v>3</v>
      </c>
      <c r="L79" s="252"/>
      <c r="M79" s="252" t="s">
        <v>1655</v>
      </c>
      <c r="N79" s="252" t="s">
        <v>1627</v>
      </c>
      <c r="O79" s="252"/>
      <c r="P79" s="252" t="s">
        <v>28</v>
      </c>
      <c r="Q79" s="252"/>
      <c r="R79" s="282" t="s">
        <v>191</v>
      </c>
      <c r="S79" s="137">
        <v>44996</v>
      </c>
    </row>
    <row r="80" spans="1:20" x14ac:dyDescent="0.3">
      <c r="A80" t="s">
        <v>38</v>
      </c>
      <c r="B80" s="371" t="s">
        <v>989</v>
      </c>
      <c r="C80" s="125" t="s">
        <v>1656</v>
      </c>
      <c r="D80" s="148" t="s">
        <v>1532</v>
      </c>
      <c r="E80" s="125" t="s">
        <v>1657</v>
      </c>
      <c r="F80" s="148">
        <v>45240</v>
      </c>
      <c r="G80" s="125" t="s">
        <v>1318</v>
      </c>
      <c r="H80" s="104" t="s">
        <v>152</v>
      </c>
      <c r="I80" s="125">
        <v>20</v>
      </c>
      <c r="J80" s="125"/>
      <c r="K80" s="163">
        <v>1</v>
      </c>
      <c r="L80" s="163">
        <v>20</v>
      </c>
      <c r="M80" s="370" t="s">
        <v>1531</v>
      </c>
      <c r="N80" s="166">
        <v>45088</v>
      </c>
      <c r="O80" s="148" t="s">
        <v>1646</v>
      </c>
      <c r="P80" s="125" t="s">
        <v>28</v>
      </c>
      <c r="Q80" s="166">
        <v>45179</v>
      </c>
      <c r="R80" s="282" t="s">
        <v>38</v>
      </c>
      <c r="S80" s="137">
        <v>45149</v>
      </c>
    </row>
    <row r="81" spans="1:20" x14ac:dyDescent="0.3">
      <c r="A81" t="s">
        <v>38</v>
      </c>
      <c r="B81" s="36" t="s">
        <v>1658</v>
      </c>
      <c r="C81" t="s">
        <v>1659</v>
      </c>
      <c r="D81" s="95">
        <v>45269</v>
      </c>
      <c r="E81" s="2" t="s">
        <v>1660</v>
      </c>
      <c r="F81" s="95">
        <v>45086</v>
      </c>
      <c r="G81" s="2" t="s">
        <v>1421</v>
      </c>
      <c r="H81" s="20" t="s">
        <v>1661</v>
      </c>
      <c r="I81" s="2">
        <v>270.22000000000003</v>
      </c>
      <c r="J81" s="2"/>
      <c r="K81" s="5">
        <v>12</v>
      </c>
      <c r="L81" s="5">
        <v>20</v>
      </c>
      <c r="M81" s="19" t="s">
        <v>1662</v>
      </c>
      <c r="N81" s="19" t="s">
        <v>1655</v>
      </c>
      <c r="O81" s="2" t="s">
        <v>1663</v>
      </c>
      <c r="P81" s="2" t="s">
        <v>28</v>
      </c>
      <c r="Q81" s="2"/>
      <c r="R81" s="282" t="s">
        <v>38</v>
      </c>
      <c r="S81" s="137">
        <v>45088</v>
      </c>
    </row>
    <row r="82" spans="1:20" x14ac:dyDescent="0.3">
      <c r="A82" t="s">
        <v>38</v>
      </c>
      <c r="B82" s="27" t="s">
        <v>1520</v>
      </c>
      <c r="C82" t="s">
        <v>1664</v>
      </c>
      <c r="D82" s="95">
        <v>44934</v>
      </c>
      <c r="E82" s="2" t="s">
        <v>1665</v>
      </c>
      <c r="F82" s="19" t="s">
        <v>1524</v>
      </c>
      <c r="G82" s="2" t="s">
        <v>1666</v>
      </c>
      <c r="H82" s="25" t="s">
        <v>1356</v>
      </c>
      <c r="I82" s="2">
        <v>236.15</v>
      </c>
      <c r="J82" s="2"/>
      <c r="K82" s="5">
        <v>10</v>
      </c>
      <c r="L82" s="5">
        <v>20</v>
      </c>
      <c r="M82" s="95">
        <v>45209</v>
      </c>
      <c r="N82" s="95" t="s">
        <v>1613</v>
      </c>
      <c r="O82" s="112">
        <v>45241</v>
      </c>
      <c r="P82" s="2" t="s">
        <v>28</v>
      </c>
      <c r="Q82" s="95">
        <v>44936</v>
      </c>
      <c r="R82" t="s">
        <v>38</v>
      </c>
      <c r="S82" t="s">
        <v>1627</v>
      </c>
    </row>
    <row r="83" spans="1:20" x14ac:dyDescent="0.3">
      <c r="A83" t="s">
        <v>38</v>
      </c>
      <c r="B83" s="372" t="s">
        <v>1667</v>
      </c>
      <c r="C83" s="45" t="s">
        <v>1668</v>
      </c>
      <c r="D83" s="2"/>
      <c r="E83" s="45">
        <v>988303256</v>
      </c>
      <c r="F83" s="2"/>
      <c r="G83" s="2"/>
      <c r="H83" s="373" t="s">
        <v>1669</v>
      </c>
      <c r="I83" s="2">
        <v>1</v>
      </c>
      <c r="J83" s="2"/>
      <c r="K83" s="2"/>
      <c r="L83" s="2"/>
      <c r="M83" s="112">
        <v>45180</v>
      </c>
      <c r="N83" s="112">
        <v>45210</v>
      </c>
      <c r="O83" s="2"/>
      <c r="P83" s="2"/>
      <c r="R83" s="282" t="s">
        <v>38</v>
      </c>
      <c r="S83" s="137">
        <v>45210</v>
      </c>
    </row>
    <row r="84" spans="1:20" ht="28.8" x14ac:dyDescent="0.3">
      <c r="A84" t="s">
        <v>60</v>
      </c>
      <c r="B84" s="374" t="s">
        <v>485</v>
      </c>
      <c r="C84" s="375" t="s">
        <v>1670</v>
      </c>
      <c r="D84" s="376">
        <v>45087</v>
      </c>
      <c r="E84" s="375" t="s">
        <v>1671</v>
      </c>
      <c r="F84" s="375" t="s">
        <v>1662</v>
      </c>
      <c r="G84" s="375" t="s">
        <v>1296</v>
      </c>
      <c r="H84" s="375" t="s">
        <v>205</v>
      </c>
      <c r="I84" s="375">
        <v>60</v>
      </c>
      <c r="J84" s="375"/>
      <c r="K84" s="375">
        <v>2</v>
      </c>
      <c r="L84" s="375"/>
      <c r="M84" s="375" t="s">
        <v>1672</v>
      </c>
      <c r="N84" s="375" t="s">
        <v>1613</v>
      </c>
      <c r="O84" s="375"/>
      <c r="P84" s="375" t="s">
        <v>28</v>
      </c>
      <c r="Q84" s="375"/>
      <c r="R84" s="282" t="s">
        <v>191</v>
      </c>
      <c r="S84" s="282" t="s">
        <v>1655</v>
      </c>
    </row>
    <row r="85" spans="1:20" ht="43.2" x14ac:dyDescent="0.3">
      <c r="A85" s="2" t="s">
        <v>60</v>
      </c>
      <c r="B85" s="377" t="s">
        <v>1673</v>
      </c>
      <c r="C85" s="45" t="s">
        <v>1674</v>
      </c>
      <c r="D85" s="2"/>
      <c r="E85" s="377">
        <v>44</v>
      </c>
      <c r="F85" s="2"/>
      <c r="G85" s="2"/>
      <c r="H85" s="2" t="s">
        <v>1594</v>
      </c>
      <c r="I85" s="2"/>
      <c r="J85" s="2"/>
      <c r="K85" s="2"/>
      <c r="L85" s="2"/>
      <c r="M85" s="2"/>
      <c r="N85" s="2"/>
      <c r="O85" s="2"/>
      <c r="P85" s="2"/>
      <c r="Q85" s="2"/>
      <c r="R85" s="282" t="s">
        <v>191</v>
      </c>
      <c r="S85" s="137">
        <v>45149</v>
      </c>
    </row>
    <row r="86" spans="1:20" ht="43.2" x14ac:dyDescent="0.3">
      <c r="B86" s="356" t="s">
        <v>1675</v>
      </c>
      <c r="C86" s="45" t="s">
        <v>1676</v>
      </c>
      <c r="D86" s="219" t="s">
        <v>1677</v>
      </c>
      <c r="E86" s="2"/>
      <c r="F86" s="2"/>
      <c r="G86" s="2" t="s">
        <v>1340</v>
      </c>
      <c r="H86" s="249" t="s">
        <v>1678</v>
      </c>
      <c r="I86" s="250">
        <v>25</v>
      </c>
      <c r="J86" s="2"/>
      <c r="K86" s="2">
        <v>1</v>
      </c>
      <c r="L86" s="2"/>
      <c r="M86" s="2" t="s">
        <v>1679</v>
      </c>
      <c r="N86" s="2"/>
      <c r="O86" s="2">
        <v>2</v>
      </c>
      <c r="P86" s="2" t="s">
        <v>1680</v>
      </c>
      <c r="Q86" s="2" t="s">
        <v>1612</v>
      </c>
      <c r="R86" s="282" t="s">
        <v>49</v>
      </c>
      <c r="S86" s="74" t="s">
        <v>1662</v>
      </c>
    </row>
    <row r="87" spans="1:20" ht="57.6" x14ac:dyDescent="0.3">
      <c r="B87" s="378" t="s">
        <v>1681</v>
      </c>
      <c r="C87" s="379" t="s">
        <v>1682</v>
      </c>
      <c r="D87" s="380" t="s">
        <v>1677</v>
      </c>
      <c r="E87" s="380">
        <v>51</v>
      </c>
      <c r="F87" s="125" t="s">
        <v>1679</v>
      </c>
      <c r="G87" s="125" t="s">
        <v>1340</v>
      </c>
      <c r="H87" s="381" t="s">
        <v>760</v>
      </c>
      <c r="I87" s="125">
        <v>25</v>
      </c>
      <c r="J87" s="125"/>
      <c r="K87" s="125">
        <v>1</v>
      </c>
      <c r="L87" s="125"/>
      <c r="M87" s="125" t="s">
        <v>1653</v>
      </c>
      <c r="N87" s="125"/>
      <c r="O87" s="125">
        <v>2</v>
      </c>
      <c r="P87" s="125" t="s">
        <v>171</v>
      </c>
      <c r="Q87" s="125"/>
      <c r="R87" s="282" t="s">
        <v>1683</v>
      </c>
      <c r="S87" t="s">
        <v>1672</v>
      </c>
    </row>
    <row r="88" spans="1:20" ht="28.8" x14ac:dyDescent="0.3">
      <c r="A88" s="2" t="s">
        <v>1683</v>
      </c>
      <c r="B88" s="356" t="s">
        <v>81</v>
      </c>
      <c r="C88" s="219" t="s">
        <v>1684</v>
      </c>
      <c r="D88" s="219" t="s">
        <v>1685</v>
      </c>
      <c r="E88" s="2" t="s">
        <v>897</v>
      </c>
      <c r="F88" s="2"/>
      <c r="G88" s="2"/>
      <c r="H88" s="2" t="s">
        <v>1686</v>
      </c>
      <c r="I88" s="250">
        <v>25080</v>
      </c>
      <c r="J88" s="2"/>
      <c r="K88" s="2"/>
      <c r="L88" s="2"/>
      <c r="M88" s="2" t="s">
        <v>1687</v>
      </c>
      <c r="N88" s="2"/>
      <c r="O88" s="2"/>
      <c r="P88" s="2" t="s">
        <v>121</v>
      </c>
      <c r="Q88" s="112">
        <v>45210</v>
      </c>
      <c r="R88" s="282" t="s">
        <v>287</v>
      </c>
    </row>
    <row r="89" spans="1:20" ht="28.8" x14ac:dyDescent="0.3">
      <c r="A89" s="2" t="s">
        <v>1683</v>
      </c>
      <c r="B89" s="356" t="s">
        <v>81</v>
      </c>
      <c r="C89" s="219" t="s">
        <v>1688</v>
      </c>
      <c r="D89" s="219" t="s">
        <v>1685</v>
      </c>
      <c r="E89" s="2" t="s">
        <v>897</v>
      </c>
      <c r="F89" s="2"/>
      <c r="G89" s="2"/>
      <c r="H89" s="249" t="s">
        <v>1689</v>
      </c>
      <c r="I89" s="2"/>
      <c r="J89" s="2"/>
      <c r="K89" s="2"/>
      <c r="L89" s="2"/>
      <c r="M89" s="2" t="s">
        <v>1687</v>
      </c>
      <c r="N89" s="2"/>
      <c r="O89" s="2"/>
      <c r="P89" s="2" t="s">
        <v>121</v>
      </c>
      <c r="Q89" s="112">
        <v>45210</v>
      </c>
      <c r="R89" s="282" t="s">
        <v>287</v>
      </c>
    </row>
    <row r="90" spans="1:20" x14ac:dyDescent="0.3">
      <c r="A90" s="81" t="s">
        <v>55</v>
      </c>
      <c r="B90" s="36" t="s">
        <v>1690</v>
      </c>
      <c r="C90" s="2" t="s">
        <v>1691</v>
      </c>
      <c r="D90" s="19" t="s">
        <v>1424</v>
      </c>
      <c r="E90" s="2" t="s">
        <v>1692</v>
      </c>
      <c r="F90" s="112" t="s">
        <v>1483</v>
      </c>
      <c r="G90" s="2" t="s">
        <v>1693</v>
      </c>
      <c r="H90" s="20" t="s">
        <v>1661</v>
      </c>
      <c r="I90" s="2">
        <v>111.265</v>
      </c>
      <c r="J90" s="2"/>
      <c r="K90" s="5">
        <v>5</v>
      </c>
      <c r="L90" s="5">
        <v>20</v>
      </c>
      <c r="M90" s="19" t="s">
        <v>1672</v>
      </c>
      <c r="N90" s="95">
        <v>45118</v>
      </c>
      <c r="O90" s="2" t="s">
        <v>1694</v>
      </c>
      <c r="P90" s="2" t="s">
        <v>28</v>
      </c>
      <c r="Q90" s="112">
        <v>45118</v>
      </c>
      <c r="R90" s="282" t="s">
        <v>55</v>
      </c>
      <c r="S90" t="s">
        <v>1663</v>
      </c>
    </row>
    <row r="91" spans="1:20" x14ac:dyDescent="0.3">
      <c r="A91" s="81" t="s">
        <v>60</v>
      </c>
      <c r="B91" s="252" t="s">
        <v>1695</v>
      </c>
      <c r="C91" s="252" t="s">
        <v>1696</v>
      </c>
      <c r="D91" s="252"/>
      <c r="E91" s="252"/>
      <c r="F91" s="252"/>
      <c r="G91" s="252"/>
      <c r="H91" s="252" t="s">
        <v>70</v>
      </c>
      <c r="I91" s="252">
        <v>285.08</v>
      </c>
      <c r="J91" s="252"/>
      <c r="K91" s="252"/>
      <c r="L91" s="252"/>
      <c r="M91" s="252"/>
      <c r="N91" s="252"/>
      <c r="O91" s="252"/>
      <c r="P91" s="252" t="s">
        <v>121</v>
      </c>
      <c r="Q91" s="286">
        <v>45210</v>
      </c>
      <c r="R91" s="282" t="s">
        <v>1697</v>
      </c>
      <c r="S91" t="s">
        <v>1646</v>
      </c>
    </row>
    <row r="92" spans="1:20" x14ac:dyDescent="0.3">
      <c r="A92" s="81" t="s">
        <v>60</v>
      </c>
      <c r="B92" s="252" t="s">
        <v>1695</v>
      </c>
      <c r="C92" s="252" t="s">
        <v>1698</v>
      </c>
      <c r="D92" s="252"/>
      <c r="E92" s="252"/>
      <c r="F92" s="252"/>
      <c r="G92" s="252"/>
      <c r="H92" s="252" t="s">
        <v>70</v>
      </c>
      <c r="I92" s="252">
        <v>987.76</v>
      </c>
      <c r="J92" s="252"/>
      <c r="K92" s="252"/>
      <c r="L92" s="252"/>
      <c r="M92" s="252"/>
      <c r="N92" s="252"/>
      <c r="O92" s="252"/>
      <c r="P92" s="252" t="s">
        <v>121</v>
      </c>
      <c r="Q92" s="286">
        <v>45210</v>
      </c>
      <c r="R92" s="282" t="s">
        <v>1697</v>
      </c>
      <c r="S92" t="s">
        <v>1646</v>
      </c>
    </row>
    <row r="93" spans="1:20" x14ac:dyDescent="0.3">
      <c r="A93" s="81" t="s">
        <v>38</v>
      </c>
      <c r="B93" s="36" t="s">
        <v>1699</v>
      </c>
      <c r="C93" s="2" t="s">
        <v>1700</v>
      </c>
      <c r="D93" s="19" t="s">
        <v>1476</v>
      </c>
      <c r="E93" s="2" t="s">
        <v>1701</v>
      </c>
      <c r="F93" s="2" t="s">
        <v>1524</v>
      </c>
      <c r="G93" s="2" t="s">
        <v>1702</v>
      </c>
      <c r="H93" s="20" t="s">
        <v>1368</v>
      </c>
      <c r="I93" s="56">
        <v>248.59299999999999</v>
      </c>
      <c r="J93" s="2" t="s">
        <v>1626</v>
      </c>
      <c r="K93" s="5">
        <v>10</v>
      </c>
      <c r="L93" s="5">
        <v>20</v>
      </c>
      <c r="M93" s="19" t="s">
        <v>1672</v>
      </c>
      <c r="N93" s="95" t="s">
        <v>1703</v>
      </c>
      <c r="O93" s="2" t="s">
        <v>1704</v>
      </c>
      <c r="P93" s="2" t="s">
        <v>1705</v>
      </c>
      <c r="Q93" s="112">
        <v>44968</v>
      </c>
      <c r="R93" s="18" t="s">
        <v>38</v>
      </c>
      <c r="S93" s="137" t="s">
        <v>1706</v>
      </c>
      <c r="T93" s="74" t="s">
        <v>1707</v>
      </c>
    </row>
    <row r="94" spans="1:20" x14ac:dyDescent="0.3">
      <c r="A94" s="81" t="s">
        <v>344</v>
      </c>
      <c r="B94" s="252" t="s">
        <v>351</v>
      </c>
      <c r="C94" s="252" t="s">
        <v>1708</v>
      </c>
      <c r="D94" s="286">
        <v>45056</v>
      </c>
      <c r="E94" s="252" t="s">
        <v>1709</v>
      </c>
      <c r="F94" s="252" t="s">
        <v>1627</v>
      </c>
      <c r="G94" s="252" t="s">
        <v>20</v>
      </c>
      <c r="H94" s="252" t="s">
        <v>1710</v>
      </c>
      <c r="I94" s="252" t="s">
        <v>1711</v>
      </c>
      <c r="J94" s="252"/>
      <c r="K94" s="252"/>
      <c r="L94" s="252"/>
      <c r="M94" s="286">
        <v>45118</v>
      </c>
      <c r="N94" s="252" t="s">
        <v>1694</v>
      </c>
      <c r="O94" s="252"/>
      <c r="P94" s="252" t="s">
        <v>121</v>
      </c>
      <c r="Q94" s="252"/>
      <c r="R94" s="282" t="s">
        <v>357</v>
      </c>
      <c r="S94" s="282" t="s">
        <v>1712</v>
      </c>
    </row>
    <row r="95" spans="1:20" x14ac:dyDescent="0.3">
      <c r="A95" s="81" t="s">
        <v>38</v>
      </c>
      <c r="B95" s="36" t="s">
        <v>1658</v>
      </c>
      <c r="C95" s="2" t="s">
        <v>1713</v>
      </c>
      <c r="D95" s="19" t="s">
        <v>1464</v>
      </c>
      <c r="E95" s="2" t="s">
        <v>1714</v>
      </c>
      <c r="F95" s="2" t="s">
        <v>1715</v>
      </c>
      <c r="G95" s="2" t="s">
        <v>1421</v>
      </c>
      <c r="H95" s="20" t="s">
        <v>1661</v>
      </c>
      <c r="I95" s="2">
        <v>242.7</v>
      </c>
      <c r="J95" s="2"/>
      <c r="K95" s="5">
        <v>11</v>
      </c>
      <c r="L95" s="5">
        <v>20</v>
      </c>
      <c r="M95" s="95">
        <v>45057</v>
      </c>
      <c r="N95" s="19" t="s">
        <v>1646</v>
      </c>
      <c r="O95" s="112">
        <v>44969</v>
      </c>
      <c r="P95" s="2" t="s">
        <v>516</v>
      </c>
      <c r="Q95" s="112">
        <v>45180</v>
      </c>
      <c r="R95" t="s">
        <v>1716</v>
      </c>
      <c r="S95" t="s">
        <v>1717</v>
      </c>
    </row>
    <row r="96" spans="1:20" x14ac:dyDescent="0.3">
      <c r="A96" s="81" t="s">
        <v>38</v>
      </c>
      <c r="B96" s="20" t="s">
        <v>1718</v>
      </c>
      <c r="C96" s="2" t="s">
        <v>1719</v>
      </c>
      <c r="D96" s="19" t="s">
        <v>1394</v>
      </c>
      <c r="E96" s="2" t="s">
        <v>1720</v>
      </c>
      <c r="F96" s="2" t="s">
        <v>1537</v>
      </c>
      <c r="G96" s="2" t="s">
        <v>1223</v>
      </c>
      <c r="H96" s="20" t="s">
        <v>1721</v>
      </c>
      <c r="I96" s="2">
        <v>1</v>
      </c>
      <c r="J96" s="2"/>
      <c r="K96" s="5">
        <v>1</v>
      </c>
      <c r="L96" s="5">
        <v>40</v>
      </c>
      <c r="M96" s="95">
        <v>45270</v>
      </c>
      <c r="N96" s="19" t="s">
        <v>1722</v>
      </c>
      <c r="O96" s="2">
        <v>14</v>
      </c>
      <c r="P96" s="2" t="s">
        <v>121</v>
      </c>
      <c r="Q96" s="112">
        <v>45210</v>
      </c>
      <c r="R96" s="282" t="s">
        <v>38</v>
      </c>
      <c r="S96" t="s">
        <v>1723</v>
      </c>
    </row>
    <row r="97" spans="1:20" ht="28.8" x14ac:dyDescent="0.3">
      <c r="A97" s="81" t="s">
        <v>60</v>
      </c>
      <c r="B97" s="261" t="s">
        <v>1724</v>
      </c>
      <c r="C97" s="252" t="s">
        <v>1725</v>
      </c>
      <c r="D97" s="252" t="s">
        <v>1449</v>
      </c>
      <c r="E97" s="252" t="s">
        <v>1726</v>
      </c>
      <c r="F97" s="252"/>
      <c r="G97" s="252" t="s">
        <v>1296</v>
      </c>
      <c r="H97" s="252" t="s">
        <v>1727</v>
      </c>
      <c r="I97" s="252">
        <v>31.68</v>
      </c>
      <c r="J97" s="252"/>
      <c r="K97" s="252">
        <v>1</v>
      </c>
      <c r="L97" s="252"/>
      <c r="M97" s="287">
        <v>44937</v>
      </c>
      <c r="N97" s="287">
        <v>44968</v>
      </c>
      <c r="O97" s="252"/>
      <c r="P97" s="252" t="s">
        <v>28</v>
      </c>
      <c r="Q97" s="252" t="s">
        <v>1712</v>
      </c>
      <c r="R97" t="s">
        <v>191</v>
      </c>
      <c r="S97" s="303" t="s">
        <v>1728</v>
      </c>
    </row>
    <row r="98" spans="1:20" x14ac:dyDescent="0.3">
      <c r="A98" s="81" t="s">
        <v>38</v>
      </c>
      <c r="B98" s="36" t="s">
        <v>1658</v>
      </c>
      <c r="C98" t="s">
        <v>1659</v>
      </c>
      <c r="D98" s="95">
        <v>45269</v>
      </c>
      <c r="E98" s="2" t="s">
        <v>1729</v>
      </c>
      <c r="F98" s="2" t="s">
        <v>1530</v>
      </c>
      <c r="G98" s="2" t="s">
        <v>1421</v>
      </c>
      <c r="H98" s="20" t="s">
        <v>1661</v>
      </c>
      <c r="I98" s="2">
        <v>242.52</v>
      </c>
      <c r="J98" s="2"/>
      <c r="K98" s="5">
        <v>11</v>
      </c>
      <c r="L98" s="5">
        <v>20</v>
      </c>
      <c r="M98" s="95">
        <v>45057</v>
      </c>
      <c r="N98" s="19" t="s">
        <v>1712</v>
      </c>
      <c r="O98" s="112">
        <v>45119</v>
      </c>
      <c r="P98" s="2" t="s">
        <v>121</v>
      </c>
      <c r="Q98" s="112">
        <v>45210</v>
      </c>
      <c r="R98" t="s">
        <v>1730</v>
      </c>
      <c r="S98" t="s">
        <v>1731</v>
      </c>
      <c r="T98" t="s">
        <v>1732</v>
      </c>
    </row>
    <row r="99" spans="1:20" ht="28.8" x14ac:dyDescent="0.3">
      <c r="A99" s="81" t="s">
        <v>60</v>
      </c>
      <c r="B99" s="261" t="s">
        <v>1733</v>
      </c>
      <c r="C99" s="252" t="s">
        <v>1734</v>
      </c>
      <c r="D99" s="251" t="s">
        <v>1524</v>
      </c>
      <c r="E99" s="252" t="s">
        <v>1735</v>
      </c>
      <c r="F99" s="252" t="s">
        <v>1519</v>
      </c>
      <c r="G99" s="252" t="s">
        <v>1462</v>
      </c>
      <c r="H99" s="252" t="s">
        <v>715</v>
      </c>
      <c r="I99" s="252">
        <v>114.66</v>
      </c>
      <c r="J99" s="252"/>
      <c r="K99" s="252">
        <v>5</v>
      </c>
      <c r="L99" s="252">
        <v>20</v>
      </c>
      <c r="M99" s="251" t="s">
        <v>1672</v>
      </c>
      <c r="N99" s="287" t="s">
        <v>1728</v>
      </c>
      <c r="O99" s="286">
        <v>45272</v>
      </c>
      <c r="P99" s="252" t="s">
        <v>28</v>
      </c>
      <c r="Q99" s="252" t="s">
        <v>1613</v>
      </c>
      <c r="R99" s="282" t="s">
        <v>191</v>
      </c>
      <c r="S99" s="282" t="s">
        <v>1736</v>
      </c>
    </row>
    <row r="100" spans="1:20" x14ac:dyDescent="0.3">
      <c r="A100" s="81" t="s">
        <v>38</v>
      </c>
      <c r="B100" s="36" t="s">
        <v>1737</v>
      </c>
      <c r="C100" s="2" t="s">
        <v>1738</v>
      </c>
      <c r="D100" s="95">
        <v>45239</v>
      </c>
      <c r="E100" s="2" t="s">
        <v>1739</v>
      </c>
      <c r="F100" s="19" t="s">
        <v>1531</v>
      </c>
      <c r="G100" s="2" t="s">
        <v>1232</v>
      </c>
      <c r="H100" s="20" t="s">
        <v>1234</v>
      </c>
      <c r="I100" s="2">
        <v>27</v>
      </c>
      <c r="J100" s="2"/>
      <c r="K100" s="5">
        <v>1</v>
      </c>
      <c r="L100" s="5">
        <v>40</v>
      </c>
      <c r="M100" s="2" t="s">
        <v>1703</v>
      </c>
      <c r="N100" s="2" t="s">
        <v>1731</v>
      </c>
      <c r="O100" s="112">
        <v>45211</v>
      </c>
      <c r="P100" s="2" t="s">
        <v>28</v>
      </c>
      <c r="Q100" s="2" t="s">
        <v>1728</v>
      </c>
      <c r="R100" s="18" t="s">
        <v>38</v>
      </c>
      <c r="S100" s="18" t="s">
        <v>1736</v>
      </c>
    </row>
    <row r="101" spans="1:20" ht="28.8" x14ac:dyDescent="0.3">
      <c r="A101" s="81" t="s">
        <v>60</v>
      </c>
      <c r="B101" s="261" t="s">
        <v>1733</v>
      </c>
      <c r="C101" s="368" t="s">
        <v>1740</v>
      </c>
      <c r="D101" s="252" t="s">
        <v>1525</v>
      </c>
      <c r="E101" s="4" t="s">
        <v>1741</v>
      </c>
      <c r="F101" s="252" t="s">
        <v>1541</v>
      </c>
      <c r="G101" s="252" t="s">
        <v>1462</v>
      </c>
      <c r="H101" s="252" t="s">
        <v>715</v>
      </c>
      <c r="I101" s="252">
        <v>117.36</v>
      </c>
      <c r="J101" s="252"/>
      <c r="K101" s="252">
        <v>5</v>
      </c>
      <c r="L101" s="252">
        <v>20</v>
      </c>
      <c r="M101" s="287">
        <v>45057</v>
      </c>
      <c r="N101" s="252" t="s">
        <v>1723</v>
      </c>
      <c r="O101" s="286">
        <v>45119</v>
      </c>
      <c r="P101" s="252" t="s">
        <v>28</v>
      </c>
      <c r="Q101" s="252" t="s">
        <v>1742</v>
      </c>
      <c r="R101" s="282" t="s">
        <v>191</v>
      </c>
      <c r="S101" s="320">
        <v>44938</v>
      </c>
    </row>
    <row r="102" spans="1:20" x14ac:dyDescent="0.3">
      <c r="A102" s="81" t="s">
        <v>60</v>
      </c>
      <c r="B102" s="316" t="s">
        <v>1433</v>
      </c>
      <c r="C102" s="340" t="s">
        <v>1743</v>
      </c>
      <c r="D102" s="5" t="s">
        <v>1502</v>
      </c>
      <c r="E102" s="382">
        <v>232206930</v>
      </c>
      <c r="F102" s="252" t="s">
        <v>1662</v>
      </c>
      <c r="G102" s="252" t="s">
        <v>1232</v>
      </c>
      <c r="H102" s="7" t="s">
        <v>102</v>
      </c>
      <c r="I102" s="10">
        <v>18</v>
      </c>
      <c r="J102" s="252"/>
      <c r="K102" s="252">
        <v>1</v>
      </c>
      <c r="L102" s="252">
        <v>20</v>
      </c>
      <c r="M102" s="252" t="s">
        <v>1642</v>
      </c>
      <c r="N102" s="252" t="s">
        <v>1704</v>
      </c>
      <c r="O102" s="286">
        <v>45181</v>
      </c>
      <c r="P102" s="252" t="s">
        <v>28</v>
      </c>
      <c r="Q102" s="252" t="s">
        <v>1712</v>
      </c>
      <c r="R102" s="282" t="s">
        <v>191</v>
      </c>
      <c r="S102" s="320">
        <v>44938</v>
      </c>
    </row>
    <row r="103" spans="1:20" x14ac:dyDescent="0.3">
      <c r="A103" s="81" t="s">
        <v>60</v>
      </c>
      <c r="B103" s="261" t="s">
        <v>1744</v>
      </c>
      <c r="C103" s="2" t="s">
        <v>1745</v>
      </c>
      <c r="D103" s="19" t="s">
        <v>1746</v>
      </c>
      <c r="E103" s="2" t="s">
        <v>1747</v>
      </c>
      <c r="F103" s="287">
        <v>45026</v>
      </c>
      <c r="G103" s="252" t="s">
        <v>1462</v>
      </c>
      <c r="H103" s="252" t="s">
        <v>715</v>
      </c>
      <c r="I103" s="252">
        <v>237.21</v>
      </c>
      <c r="J103" s="252"/>
      <c r="K103" s="252">
        <v>10</v>
      </c>
      <c r="L103" s="252">
        <v>20</v>
      </c>
      <c r="M103" s="251" t="s">
        <v>1703</v>
      </c>
      <c r="N103" s="252" t="s">
        <v>1728</v>
      </c>
      <c r="O103" s="286">
        <v>45242</v>
      </c>
      <c r="P103" s="252" t="s">
        <v>28</v>
      </c>
      <c r="Q103" s="252" t="s">
        <v>1728</v>
      </c>
      <c r="R103" s="282" t="s">
        <v>191</v>
      </c>
      <c r="S103" s="320">
        <v>44997</v>
      </c>
    </row>
    <row r="104" spans="1:20" x14ac:dyDescent="0.3">
      <c r="A104" s="81" t="s">
        <v>38</v>
      </c>
      <c r="B104" s="36" t="s">
        <v>1690</v>
      </c>
      <c r="C104" s="2" t="s">
        <v>1691</v>
      </c>
      <c r="D104" s="19" t="s">
        <v>1424</v>
      </c>
      <c r="E104" s="2" t="s">
        <v>1748</v>
      </c>
      <c r="F104" s="95">
        <v>45086</v>
      </c>
      <c r="G104" s="2" t="s">
        <v>1693</v>
      </c>
      <c r="H104" s="20" t="s">
        <v>1661</v>
      </c>
      <c r="I104" s="2">
        <v>177.17599999999999</v>
      </c>
      <c r="J104" s="2"/>
      <c r="K104" s="5">
        <v>8</v>
      </c>
      <c r="L104" s="5">
        <v>20</v>
      </c>
      <c r="M104" s="95">
        <v>45210</v>
      </c>
      <c r="N104" s="95">
        <v>45028</v>
      </c>
      <c r="O104" s="2" t="s">
        <v>1749</v>
      </c>
      <c r="P104" s="2" t="s">
        <v>121</v>
      </c>
      <c r="Q104" s="112">
        <v>45118</v>
      </c>
      <c r="R104" t="s">
        <v>38</v>
      </c>
      <c r="S104" s="137">
        <v>45089</v>
      </c>
    </row>
    <row r="105" spans="1:20" x14ac:dyDescent="0.3">
      <c r="A105" s="2" t="s">
        <v>1438</v>
      </c>
      <c r="B105" s="2" t="s">
        <v>1439</v>
      </c>
      <c r="C105" s="2" t="s">
        <v>1750</v>
      </c>
      <c r="D105" s="2" t="s">
        <v>1712</v>
      </c>
      <c r="E105" s="383" t="s">
        <v>1751</v>
      </c>
      <c r="F105" s="112">
        <v>45028</v>
      </c>
      <c r="G105" s="2" t="s">
        <v>1752</v>
      </c>
      <c r="H105" s="2" t="s">
        <v>860</v>
      </c>
      <c r="I105" s="2">
        <v>95.74</v>
      </c>
      <c r="J105" s="2"/>
      <c r="K105" s="2"/>
      <c r="L105" s="2"/>
      <c r="M105" s="2"/>
      <c r="N105" s="2"/>
      <c r="O105" s="2"/>
      <c r="P105" s="2"/>
      <c r="Q105" s="2"/>
      <c r="R105" s="137">
        <v>45028</v>
      </c>
      <c r="S105" t="s">
        <v>1753</v>
      </c>
    </row>
    <row r="106" spans="1:20" x14ac:dyDescent="0.3">
      <c r="A106" s="2" t="s">
        <v>1438</v>
      </c>
      <c r="B106" s="2" t="s">
        <v>1439</v>
      </c>
      <c r="C106" s="2" t="s">
        <v>1750</v>
      </c>
      <c r="D106" s="2" t="s">
        <v>1712</v>
      </c>
      <c r="E106" s="2">
        <v>7248</v>
      </c>
      <c r="F106" s="2"/>
      <c r="G106" s="2"/>
      <c r="H106" s="2"/>
      <c r="I106" s="2">
        <v>30.03</v>
      </c>
      <c r="J106" s="2"/>
      <c r="K106" s="2"/>
      <c r="L106" s="2"/>
      <c r="M106" s="2"/>
      <c r="N106" s="2"/>
      <c r="O106" s="2"/>
      <c r="P106" s="2"/>
      <c r="Q106" s="2"/>
      <c r="R106" s="137">
        <v>45058</v>
      </c>
    </row>
    <row r="107" spans="1:20" x14ac:dyDescent="0.3">
      <c r="A107" s="2" t="s">
        <v>1438</v>
      </c>
      <c r="B107" s="2" t="s">
        <v>1439</v>
      </c>
      <c r="C107" s="2" t="s">
        <v>1750</v>
      </c>
      <c r="D107" s="2" t="s">
        <v>1712</v>
      </c>
      <c r="E107" s="384" t="s">
        <v>1754</v>
      </c>
      <c r="F107" s="2"/>
      <c r="G107" s="2"/>
      <c r="H107" s="2"/>
      <c r="I107" s="2">
        <v>93.01</v>
      </c>
      <c r="J107" s="2"/>
      <c r="K107" s="2"/>
      <c r="L107" s="2"/>
      <c r="M107" s="2"/>
      <c r="N107" s="2"/>
      <c r="O107" s="2"/>
      <c r="P107" s="2"/>
      <c r="Q107" s="2"/>
      <c r="R107" s="137">
        <v>45089</v>
      </c>
    </row>
    <row r="108" spans="1:20" x14ac:dyDescent="0.3">
      <c r="A108" s="2" t="s">
        <v>1438</v>
      </c>
      <c r="B108" s="2" t="s">
        <v>1439</v>
      </c>
      <c r="C108" s="2" t="s">
        <v>1750</v>
      </c>
      <c r="D108" s="2" t="s">
        <v>1712</v>
      </c>
      <c r="E108" s="2">
        <v>4226</v>
      </c>
      <c r="F108" s="2"/>
      <c r="G108" s="2"/>
      <c r="H108" s="2"/>
      <c r="I108" s="2">
        <v>31.06</v>
      </c>
      <c r="J108" s="2"/>
      <c r="K108" s="2"/>
      <c r="L108" s="2"/>
      <c r="M108" s="2"/>
      <c r="N108" s="2"/>
      <c r="O108" s="2"/>
      <c r="P108" s="2"/>
      <c r="Q108" s="2"/>
      <c r="R108" s="137">
        <v>45089</v>
      </c>
    </row>
    <row r="109" spans="1:20" x14ac:dyDescent="0.3">
      <c r="A109" s="81" t="s">
        <v>60</v>
      </c>
      <c r="B109" s="261" t="s">
        <v>989</v>
      </c>
      <c r="C109" s="2" t="s">
        <v>1755</v>
      </c>
      <c r="D109" s="252" t="s">
        <v>1541</v>
      </c>
      <c r="E109" s="2" t="s">
        <v>1756</v>
      </c>
      <c r="F109" s="287">
        <v>45026</v>
      </c>
      <c r="G109" s="252" t="s">
        <v>1318</v>
      </c>
      <c r="H109" s="252" t="s">
        <v>152</v>
      </c>
      <c r="I109" s="252">
        <v>20</v>
      </c>
      <c r="J109" s="252"/>
      <c r="K109" s="252">
        <v>1</v>
      </c>
      <c r="L109" s="252">
        <v>20</v>
      </c>
      <c r="M109" s="287">
        <v>45210</v>
      </c>
      <c r="N109" s="251" t="s">
        <v>1728</v>
      </c>
      <c r="O109" s="286">
        <v>45211</v>
      </c>
      <c r="P109" s="252" t="s">
        <v>28</v>
      </c>
      <c r="Q109" s="252" t="s">
        <v>1728</v>
      </c>
      <c r="R109" s="282" t="s">
        <v>191</v>
      </c>
      <c r="S109" s="320">
        <v>45089</v>
      </c>
      <c r="T109" s="282"/>
    </row>
    <row r="110" spans="1:20" x14ac:dyDescent="0.3">
      <c r="A110" s="81" t="s">
        <v>38</v>
      </c>
      <c r="B110" s="36" t="s">
        <v>240</v>
      </c>
      <c r="C110" s="2" t="s">
        <v>1757</v>
      </c>
      <c r="D110" s="2" t="s">
        <v>1662</v>
      </c>
      <c r="E110" s="2" t="s">
        <v>1758</v>
      </c>
      <c r="F110" s="19" t="s">
        <v>1536</v>
      </c>
      <c r="G110" s="2" t="s">
        <v>1759</v>
      </c>
      <c r="H110" s="20" t="s">
        <v>977</v>
      </c>
      <c r="I110" s="2">
        <v>324.94</v>
      </c>
      <c r="J110" s="2"/>
      <c r="K110" s="5">
        <v>15</v>
      </c>
      <c r="L110" s="5">
        <v>20</v>
      </c>
      <c r="M110" s="95">
        <v>45241</v>
      </c>
      <c r="N110" s="95">
        <v>45028</v>
      </c>
      <c r="O110" s="2" t="s">
        <v>1749</v>
      </c>
      <c r="P110" s="2" t="s">
        <v>28</v>
      </c>
      <c r="Q110" s="2" t="s">
        <v>1728</v>
      </c>
      <c r="R110" t="s">
        <v>38</v>
      </c>
      <c r="S110" t="s">
        <v>1760</v>
      </c>
    </row>
    <row r="111" spans="1:20" x14ac:dyDescent="0.3">
      <c r="A111" s="81" t="s">
        <v>60</v>
      </c>
      <c r="B111" s="261" t="s">
        <v>1542</v>
      </c>
      <c r="C111" s="2" t="s">
        <v>1761</v>
      </c>
      <c r="D111" s="251" t="s">
        <v>1465</v>
      </c>
      <c r="E111" s="252" t="s">
        <v>1762</v>
      </c>
      <c r="F111" s="287" t="s">
        <v>1715</v>
      </c>
      <c r="G111" s="252" t="s">
        <v>1232</v>
      </c>
      <c r="H111" s="252" t="s">
        <v>205</v>
      </c>
      <c r="I111" s="252">
        <v>100</v>
      </c>
      <c r="J111" s="252"/>
      <c r="K111" s="252">
        <v>4</v>
      </c>
      <c r="L111" s="252">
        <v>20</v>
      </c>
      <c r="M111" s="287">
        <v>44996</v>
      </c>
      <c r="N111" s="287">
        <v>45089</v>
      </c>
      <c r="O111" s="252" t="s">
        <v>1763</v>
      </c>
      <c r="P111" s="252" t="s">
        <v>121</v>
      </c>
      <c r="Q111" s="286">
        <v>44968</v>
      </c>
      <c r="R111" s="282" t="s">
        <v>191</v>
      </c>
      <c r="S111" s="320">
        <v>45211</v>
      </c>
    </row>
    <row r="112" spans="1:20" x14ac:dyDescent="0.3">
      <c r="A112" s="81" t="s">
        <v>55</v>
      </c>
      <c r="B112" s="36" t="s">
        <v>1658</v>
      </c>
      <c r="C112" s="2" t="s">
        <v>1713</v>
      </c>
      <c r="D112" s="19" t="s">
        <v>1464</v>
      </c>
      <c r="E112" t="s">
        <v>1764</v>
      </c>
      <c r="F112" s="2" t="s">
        <v>1559</v>
      </c>
      <c r="G112" s="2" t="s">
        <v>1421</v>
      </c>
      <c r="H112" s="20" t="s">
        <v>1661</v>
      </c>
      <c r="I112" s="2">
        <v>88.32</v>
      </c>
      <c r="J112" s="2"/>
      <c r="K112" s="5">
        <v>4</v>
      </c>
      <c r="L112" s="5">
        <v>20</v>
      </c>
      <c r="M112" s="95" t="s">
        <v>1728</v>
      </c>
      <c r="N112" s="95">
        <v>45089</v>
      </c>
      <c r="O112" s="2" t="s">
        <v>1763</v>
      </c>
      <c r="P112" s="2" t="s">
        <v>28</v>
      </c>
      <c r="Q112" s="2" t="s">
        <v>1712</v>
      </c>
      <c r="R112" s="18" t="s">
        <v>55</v>
      </c>
      <c r="S112" s="137">
        <v>45272</v>
      </c>
    </row>
    <row r="113" spans="1:21" ht="28.8" x14ac:dyDescent="0.3">
      <c r="A113" s="81" t="s">
        <v>60</v>
      </c>
      <c r="B113" s="252" t="s">
        <v>895</v>
      </c>
      <c r="C113" s="2" t="s">
        <v>1765</v>
      </c>
      <c r="D113" s="252" t="s">
        <v>1731</v>
      </c>
      <c r="E113" s="252" t="s">
        <v>1766</v>
      </c>
      <c r="F113" s="252" t="s">
        <v>1736</v>
      </c>
      <c r="G113" s="252" t="s">
        <v>1767</v>
      </c>
      <c r="H113" s="252" t="s">
        <v>1768</v>
      </c>
      <c r="I113" s="252">
        <v>3</v>
      </c>
      <c r="J113" s="252"/>
      <c r="K113" s="252"/>
      <c r="L113" s="252"/>
      <c r="M113" s="287">
        <v>45211</v>
      </c>
      <c r="N113" s="287">
        <v>45272</v>
      </c>
      <c r="O113" s="252"/>
      <c r="P113" s="252" t="s">
        <v>212</v>
      </c>
      <c r="Q113" s="252"/>
      <c r="R113" t="s">
        <v>38</v>
      </c>
      <c r="S113" t="s">
        <v>1769</v>
      </c>
    </row>
    <row r="114" spans="1:21" x14ac:dyDescent="0.3">
      <c r="A114" s="81" t="s">
        <v>38</v>
      </c>
      <c r="B114" s="36" t="s">
        <v>1658</v>
      </c>
      <c r="C114" s="2" t="s">
        <v>1713</v>
      </c>
      <c r="D114" s="19" t="s">
        <v>1464</v>
      </c>
      <c r="E114" s="2" t="s">
        <v>1770</v>
      </c>
      <c r="F114" s="95" t="s">
        <v>1515</v>
      </c>
      <c r="G114" s="2" t="s">
        <v>1421</v>
      </c>
      <c r="H114" s="20" t="s">
        <v>1661</v>
      </c>
      <c r="I114" s="2">
        <v>176.68</v>
      </c>
      <c r="J114" s="2"/>
      <c r="K114" s="5">
        <v>8</v>
      </c>
      <c r="L114" s="5">
        <v>20</v>
      </c>
      <c r="M114" s="95">
        <v>45180</v>
      </c>
      <c r="N114" s="95">
        <v>45089</v>
      </c>
      <c r="O114" s="2" t="s">
        <v>1763</v>
      </c>
      <c r="P114" s="2" t="s">
        <v>28</v>
      </c>
      <c r="Q114" s="2" t="s">
        <v>1712</v>
      </c>
      <c r="R114" s="18" t="s">
        <v>38</v>
      </c>
      <c r="S114" s="137" t="s">
        <v>1771</v>
      </c>
      <c r="T114" s="74" t="s">
        <v>1772</v>
      </c>
    </row>
    <row r="115" spans="1:21" x14ac:dyDescent="0.3">
      <c r="A115" s="81" t="s">
        <v>38</v>
      </c>
      <c r="B115" s="36" t="s">
        <v>1737</v>
      </c>
      <c r="C115" s="2" t="s">
        <v>1773</v>
      </c>
      <c r="D115" s="95">
        <v>44936</v>
      </c>
      <c r="E115" s="19">
        <v>232205263</v>
      </c>
      <c r="F115" s="19" t="s">
        <v>1662</v>
      </c>
      <c r="G115" s="2" t="s">
        <v>1232</v>
      </c>
      <c r="H115" s="20" t="s">
        <v>1774</v>
      </c>
      <c r="I115" s="2">
        <v>27</v>
      </c>
      <c r="J115" s="2"/>
      <c r="K115" s="5">
        <v>1</v>
      </c>
      <c r="L115" s="5">
        <v>40</v>
      </c>
      <c r="M115" s="95">
        <v>45058</v>
      </c>
      <c r="N115" s="95">
        <v>45089</v>
      </c>
      <c r="O115" s="2" t="s">
        <v>1763</v>
      </c>
      <c r="P115" s="2" t="s">
        <v>28</v>
      </c>
      <c r="Q115" s="19" t="s">
        <v>1728</v>
      </c>
      <c r="R115" t="s">
        <v>1775</v>
      </c>
      <c r="S115" t="s">
        <v>1776</v>
      </c>
      <c r="T115" t="s">
        <v>38</v>
      </c>
      <c r="U115" t="s">
        <v>1777</v>
      </c>
    </row>
    <row r="116" spans="1:21" x14ac:dyDescent="0.3">
      <c r="A116" s="81" t="s">
        <v>38</v>
      </c>
      <c r="B116" s="36" t="s">
        <v>1778</v>
      </c>
      <c r="C116" s="2" t="s">
        <v>1779</v>
      </c>
      <c r="D116" s="2" t="s">
        <v>1679</v>
      </c>
      <c r="E116" s="25" t="s">
        <v>1780</v>
      </c>
      <c r="F116" s="95">
        <v>44995</v>
      </c>
      <c r="G116" s="2" t="s">
        <v>1759</v>
      </c>
      <c r="H116" s="20" t="s">
        <v>1422</v>
      </c>
      <c r="I116" s="2">
        <v>263.60000000000002</v>
      </c>
      <c r="J116" s="2"/>
      <c r="K116" s="5">
        <v>11</v>
      </c>
      <c r="L116" s="5">
        <v>20</v>
      </c>
      <c r="M116" s="95" t="s">
        <v>1728</v>
      </c>
      <c r="N116" s="95" t="s">
        <v>1781</v>
      </c>
      <c r="O116" s="112">
        <v>45352</v>
      </c>
      <c r="P116" s="2" t="s">
        <v>28</v>
      </c>
      <c r="Q116" s="19" t="s">
        <v>1782</v>
      </c>
      <c r="R116" t="s">
        <v>1783</v>
      </c>
      <c r="S116" t="s">
        <v>1784</v>
      </c>
      <c r="T116" t="s">
        <v>1785</v>
      </c>
      <c r="U116" t="s">
        <v>1786</v>
      </c>
    </row>
    <row r="117" spans="1:21" ht="28.8" x14ac:dyDescent="0.3">
      <c r="A117" s="81" t="s">
        <v>287</v>
      </c>
      <c r="B117" s="386" t="s">
        <v>81</v>
      </c>
      <c r="C117" s="219" t="s">
        <v>1688</v>
      </c>
      <c r="D117" s="219" t="s">
        <v>1685</v>
      </c>
      <c r="E117" s="219" t="s">
        <v>1787</v>
      </c>
      <c r="F117" s="2"/>
      <c r="G117" s="2"/>
      <c r="H117" s="249" t="s">
        <v>1788</v>
      </c>
      <c r="I117" s="266" t="s">
        <v>1789</v>
      </c>
      <c r="J117" s="2"/>
      <c r="K117" s="2"/>
      <c r="L117" s="2"/>
      <c r="M117" s="112">
        <v>44997</v>
      </c>
      <c r="N117" s="112">
        <v>45089</v>
      </c>
      <c r="O117" s="2"/>
      <c r="P117" s="2" t="s">
        <v>28</v>
      </c>
      <c r="Q117" s="2" t="s">
        <v>1790</v>
      </c>
      <c r="S117" t="s">
        <v>1781</v>
      </c>
    </row>
    <row r="118" spans="1:21" ht="28.8" x14ac:dyDescent="0.3">
      <c r="A118" s="81" t="s">
        <v>287</v>
      </c>
      <c r="B118" s="386" t="s">
        <v>81</v>
      </c>
      <c r="C118" s="219" t="s">
        <v>1684</v>
      </c>
      <c r="D118" s="219" t="s">
        <v>1685</v>
      </c>
      <c r="E118" s="219" t="s">
        <v>1791</v>
      </c>
      <c r="F118" s="2"/>
      <c r="G118" s="2"/>
      <c r="H118" s="2" t="s">
        <v>1686</v>
      </c>
      <c r="I118" s="250" t="s">
        <v>1792</v>
      </c>
      <c r="J118" s="2"/>
      <c r="K118" s="2"/>
      <c r="L118" s="2"/>
      <c r="M118" s="112">
        <v>45211</v>
      </c>
      <c r="N118" s="112">
        <v>45272</v>
      </c>
      <c r="O118" s="2"/>
      <c r="P118" s="2" t="s">
        <v>28</v>
      </c>
      <c r="Q118" s="2" t="s">
        <v>1790</v>
      </c>
      <c r="R118" t="s">
        <v>287</v>
      </c>
      <c r="S118" t="s">
        <v>1781</v>
      </c>
    </row>
    <row r="119" spans="1:21" ht="28.8" x14ac:dyDescent="0.3">
      <c r="A119" s="81" t="s">
        <v>60</v>
      </c>
      <c r="B119" s="261" t="s">
        <v>1650</v>
      </c>
      <c r="C119" s="252" t="s">
        <v>1793</v>
      </c>
      <c r="D119" s="286">
        <v>45150</v>
      </c>
      <c r="E119" s="252" t="s">
        <v>1794</v>
      </c>
      <c r="F119" s="286">
        <v>45272</v>
      </c>
      <c r="G119" s="252" t="s">
        <v>1296</v>
      </c>
      <c r="H119" s="252" t="s">
        <v>1654</v>
      </c>
      <c r="I119" s="252">
        <v>40</v>
      </c>
      <c r="J119" s="252"/>
      <c r="K119" s="252">
        <v>2</v>
      </c>
      <c r="L119" s="252"/>
      <c r="M119" s="252" t="s">
        <v>1763</v>
      </c>
      <c r="N119" s="252" t="s">
        <v>1795</v>
      </c>
      <c r="O119" s="252"/>
      <c r="P119" s="252" t="s">
        <v>28</v>
      </c>
      <c r="Q119" s="252"/>
      <c r="R119" s="282" t="s">
        <v>191</v>
      </c>
      <c r="S119" s="137" t="s">
        <v>1795</v>
      </c>
    </row>
    <row r="120" spans="1:21" ht="28.8" x14ac:dyDescent="0.3">
      <c r="A120" s="81" t="s">
        <v>60</v>
      </c>
      <c r="B120" s="252" t="s">
        <v>1796</v>
      </c>
      <c r="C120" s="252" t="s">
        <v>1797</v>
      </c>
      <c r="D120" s="252"/>
      <c r="E120" s="252">
        <v>3223</v>
      </c>
      <c r="F120" s="252" t="s">
        <v>1782</v>
      </c>
      <c r="G120" s="252" t="s">
        <v>1296</v>
      </c>
      <c r="H120" s="252" t="s">
        <v>1798</v>
      </c>
      <c r="I120" s="252">
        <v>20.02</v>
      </c>
      <c r="J120" s="252"/>
      <c r="K120" s="252">
        <v>1</v>
      </c>
      <c r="L120" s="252"/>
      <c r="M120" s="252" t="s">
        <v>1777</v>
      </c>
      <c r="N120" s="252" t="s">
        <v>1784</v>
      </c>
      <c r="O120" s="252"/>
      <c r="P120" s="252" t="s">
        <v>28</v>
      </c>
      <c r="Q120" s="252" t="s">
        <v>1786</v>
      </c>
      <c r="R120" s="328" t="s">
        <v>191</v>
      </c>
      <c r="S120" s="328" t="s">
        <v>1799</v>
      </c>
    </row>
    <row r="121" spans="1:21" x14ac:dyDescent="0.3">
      <c r="A121" s="81" t="s">
        <v>60</v>
      </c>
      <c r="B121" s="27" t="s">
        <v>1800</v>
      </c>
      <c r="C121" s="2" t="s">
        <v>1801</v>
      </c>
      <c r="D121" s="252" t="s">
        <v>1532</v>
      </c>
      <c r="E121" s="2" t="s">
        <v>1802</v>
      </c>
      <c r="F121" s="252" t="s">
        <v>1703</v>
      </c>
      <c r="G121" s="252" t="s">
        <v>1232</v>
      </c>
      <c r="H121" s="2" t="s">
        <v>1803</v>
      </c>
      <c r="I121" s="252">
        <v>10.535</v>
      </c>
      <c r="J121" s="252"/>
      <c r="K121" s="252">
        <v>1</v>
      </c>
      <c r="L121" s="252">
        <v>40</v>
      </c>
      <c r="M121" s="287">
        <v>45119</v>
      </c>
      <c r="N121" s="251" t="s">
        <v>1804</v>
      </c>
      <c r="O121" s="286">
        <v>45474</v>
      </c>
      <c r="P121" s="252" t="s">
        <v>28</v>
      </c>
      <c r="Q121" s="252" t="s">
        <v>1782</v>
      </c>
      <c r="R121" s="282" t="s">
        <v>191</v>
      </c>
      <c r="S121" s="282" t="s">
        <v>1805</v>
      </c>
    </row>
    <row r="122" spans="1:21" ht="28.8" x14ac:dyDescent="0.3">
      <c r="A122" s="81" t="s">
        <v>49</v>
      </c>
      <c r="B122" s="356" t="s">
        <v>1806</v>
      </c>
      <c r="C122" s="219" t="s">
        <v>1807</v>
      </c>
      <c r="D122" s="250" t="s">
        <v>1808</v>
      </c>
      <c r="E122" s="262">
        <v>308601882</v>
      </c>
      <c r="F122" s="2" t="s">
        <v>1784</v>
      </c>
      <c r="G122" s="2" t="s">
        <v>1296</v>
      </c>
      <c r="H122" s="249" t="s">
        <v>1809</v>
      </c>
      <c r="I122" s="250">
        <v>10</v>
      </c>
      <c r="J122" s="2"/>
      <c r="K122" s="2">
        <v>1</v>
      </c>
      <c r="L122" s="2"/>
      <c r="M122" s="2" t="s">
        <v>1786</v>
      </c>
      <c r="N122" s="2" t="s">
        <v>1799</v>
      </c>
      <c r="O122" s="2"/>
      <c r="P122" s="2" t="s">
        <v>121</v>
      </c>
      <c r="Q122" s="2" t="s">
        <v>1784</v>
      </c>
      <c r="R122" s="282" t="s">
        <v>49</v>
      </c>
      <c r="S122" t="s">
        <v>1805</v>
      </c>
    </row>
    <row r="123" spans="1:21" x14ac:dyDescent="0.3">
      <c r="A123" s="81" t="s">
        <v>38</v>
      </c>
      <c r="B123" s="250" t="s">
        <v>1810</v>
      </c>
      <c r="C123" s="29" t="s">
        <v>1811</v>
      </c>
      <c r="D123" s="252"/>
      <c r="E123" s="252"/>
      <c r="F123" s="252"/>
      <c r="G123" s="252" t="s">
        <v>1296</v>
      </c>
      <c r="H123" s="7" t="s">
        <v>1812</v>
      </c>
      <c r="I123" s="387">
        <v>1300</v>
      </c>
      <c r="J123" s="252"/>
      <c r="K123" s="252"/>
      <c r="L123" s="252"/>
      <c r="M123" s="252"/>
      <c r="N123" s="252" t="s">
        <v>1786</v>
      </c>
      <c r="O123" s="252"/>
      <c r="P123" s="252" t="s">
        <v>28</v>
      </c>
      <c r="Q123" s="252" t="s">
        <v>1799</v>
      </c>
      <c r="R123" s="282" t="s">
        <v>38</v>
      </c>
      <c r="S123" s="282" t="s">
        <v>1805</v>
      </c>
    </row>
    <row r="124" spans="1:21" x14ac:dyDescent="0.3">
      <c r="A124" s="81" t="s">
        <v>38</v>
      </c>
      <c r="B124" s="20" t="s">
        <v>636</v>
      </c>
      <c r="C124" s="19" t="s">
        <v>1813</v>
      </c>
      <c r="D124" s="2"/>
      <c r="E124" s="2" t="s">
        <v>1814</v>
      </c>
      <c r="F124" s="2" t="s">
        <v>1815</v>
      </c>
      <c r="G124" s="2"/>
      <c r="H124" s="20" t="s">
        <v>1816</v>
      </c>
      <c r="I124" s="2">
        <v>200</v>
      </c>
      <c r="J124" s="2"/>
      <c r="K124" s="5" t="s">
        <v>1817</v>
      </c>
      <c r="L124" s="2"/>
      <c r="M124" s="2" t="s">
        <v>1795</v>
      </c>
      <c r="N124" s="2"/>
      <c r="O124" s="2"/>
      <c r="P124" s="2" t="s">
        <v>28</v>
      </c>
      <c r="Q124" s="2"/>
      <c r="R124" s="282" t="s">
        <v>1818</v>
      </c>
      <c r="S124" s="137">
        <v>44958</v>
      </c>
    </row>
    <row r="125" spans="1:21" ht="28.8" x14ac:dyDescent="0.3">
      <c r="A125" s="81" t="s">
        <v>60</v>
      </c>
      <c r="B125" s="261" t="s">
        <v>1542</v>
      </c>
      <c r="C125" s="2" t="s">
        <v>1819</v>
      </c>
      <c r="D125" s="252" t="s">
        <v>1465</v>
      </c>
      <c r="E125" s="252" t="s">
        <v>1820</v>
      </c>
      <c r="F125" s="287">
        <v>45240</v>
      </c>
      <c r="G125" s="252" t="s">
        <v>1645</v>
      </c>
      <c r="H125" s="252" t="s">
        <v>205</v>
      </c>
      <c r="I125" s="252">
        <v>100</v>
      </c>
      <c r="J125" s="252"/>
      <c r="K125" s="252">
        <v>4</v>
      </c>
      <c r="L125" s="252">
        <v>20</v>
      </c>
      <c r="M125" s="287">
        <v>45150</v>
      </c>
      <c r="N125" s="252" t="s">
        <v>1821</v>
      </c>
      <c r="O125" s="286">
        <v>45444</v>
      </c>
      <c r="P125" s="252" t="s">
        <v>28</v>
      </c>
      <c r="Q125" s="252" t="s">
        <v>1742</v>
      </c>
      <c r="R125" s="282" t="s">
        <v>1822</v>
      </c>
      <c r="S125" s="320">
        <v>44958</v>
      </c>
    </row>
    <row r="126" spans="1:21" x14ac:dyDescent="0.3">
      <c r="A126" s="81" t="s">
        <v>60</v>
      </c>
      <c r="B126" s="261" t="s">
        <v>240</v>
      </c>
      <c r="C126" s="2" t="s">
        <v>1823</v>
      </c>
      <c r="D126" s="252" t="s">
        <v>1824</v>
      </c>
      <c r="E126" s="19">
        <v>232346261</v>
      </c>
      <c r="F126" s="252" t="s">
        <v>1646</v>
      </c>
      <c r="G126" s="252" t="s">
        <v>1462</v>
      </c>
      <c r="H126" s="252" t="s">
        <v>715</v>
      </c>
      <c r="I126" s="252">
        <v>136.88</v>
      </c>
      <c r="J126" s="252"/>
      <c r="K126" s="252">
        <v>6</v>
      </c>
      <c r="L126" s="252">
        <v>20</v>
      </c>
      <c r="M126" s="287">
        <v>45272</v>
      </c>
      <c r="N126" s="252" t="s">
        <v>1777</v>
      </c>
      <c r="O126" s="286">
        <v>45505</v>
      </c>
      <c r="P126" s="252" t="s">
        <v>28</v>
      </c>
      <c r="Q126" s="252" t="s">
        <v>1782</v>
      </c>
      <c r="R126" s="388" t="s">
        <v>191</v>
      </c>
      <c r="S126" s="320">
        <v>45292</v>
      </c>
    </row>
    <row r="127" spans="1:21" x14ac:dyDescent="0.3">
      <c r="A127" s="81" t="s">
        <v>60</v>
      </c>
      <c r="B127" s="252" t="s">
        <v>1825</v>
      </c>
      <c r="C127" s="252" t="s">
        <v>1826</v>
      </c>
      <c r="D127" s="252"/>
      <c r="E127" s="252" t="s">
        <v>1827</v>
      </c>
      <c r="F127" s="252" t="s">
        <v>1786</v>
      </c>
      <c r="G127" s="252" t="s">
        <v>1296</v>
      </c>
      <c r="H127" s="252" t="s">
        <v>1798</v>
      </c>
      <c r="I127" s="252">
        <v>40.04</v>
      </c>
      <c r="J127" s="252"/>
      <c r="K127" s="252">
        <v>2</v>
      </c>
      <c r="L127" s="252"/>
      <c r="M127" s="287">
        <v>45292</v>
      </c>
      <c r="N127" s="287">
        <v>45323</v>
      </c>
      <c r="O127" s="252"/>
      <c r="P127" s="252" t="s">
        <v>28</v>
      </c>
      <c r="Q127" s="286">
        <v>45597</v>
      </c>
      <c r="R127" s="282" t="s">
        <v>191</v>
      </c>
      <c r="S127" s="137">
        <v>45627</v>
      </c>
    </row>
    <row r="128" spans="1:21" x14ac:dyDescent="0.3">
      <c r="A128" s="81" t="s">
        <v>60</v>
      </c>
      <c r="B128" s="261" t="s">
        <v>510</v>
      </c>
      <c r="C128" s="2" t="s">
        <v>1828</v>
      </c>
      <c r="D128" s="252" t="s">
        <v>1736</v>
      </c>
      <c r="E128" s="2" t="s">
        <v>1829</v>
      </c>
      <c r="F128" s="287">
        <v>45272</v>
      </c>
      <c r="G128" s="252" t="s">
        <v>1272</v>
      </c>
      <c r="H128" s="252" t="s">
        <v>1830</v>
      </c>
      <c r="I128" s="252">
        <v>125</v>
      </c>
      <c r="J128" s="252"/>
      <c r="K128" s="252">
        <v>5</v>
      </c>
      <c r="L128" s="252">
        <v>20</v>
      </c>
      <c r="M128" s="252" t="s">
        <v>1804</v>
      </c>
      <c r="N128" s="287">
        <v>45047</v>
      </c>
      <c r="O128" s="252" t="s">
        <v>1831</v>
      </c>
      <c r="P128" s="252" t="s">
        <v>28</v>
      </c>
      <c r="Q128" s="286">
        <v>45413</v>
      </c>
      <c r="R128" s="282" t="s">
        <v>38</v>
      </c>
      <c r="S128" s="320">
        <v>45627</v>
      </c>
    </row>
    <row r="129" spans="1:21" x14ac:dyDescent="0.3">
      <c r="A129" s="81" t="s">
        <v>38</v>
      </c>
      <c r="B129" s="36" t="s">
        <v>1832</v>
      </c>
      <c r="C129" s="2" t="s">
        <v>1833</v>
      </c>
      <c r="D129" s="2" t="s">
        <v>1620</v>
      </c>
      <c r="E129" s="2" t="s">
        <v>1834</v>
      </c>
      <c r="F129" s="19" t="s">
        <v>1703</v>
      </c>
      <c r="G129" s="2" t="s">
        <v>1702</v>
      </c>
      <c r="H129" s="20" t="s">
        <v>1835</v>
      </c>
      <c r="I129" s="2">
        <v>81.599999999999994</v>
      </c>
      <c r="J129" s="2"/>
      <c r="K129" s="5">
        <v>4</v>
      </c>
      <c r="L129" s="5">
        <v>20</v>
      </c>
      <c r="M129" s="2" t="s">
        <v>1799</v>
      </c>
      <c r="N129" s="95">
        <v>45536</v>
      </c>
      <c r="O129" s="2" t="s">
        <v>1836</v>
      </c>
      <c r="P129" s="2" t="s">
        <v>28</v>
      </c>
      <c r="Q129" s="19" t="s">
        <v>1776</v>
      </c>
      <c r="R129" s="18" t="s">
        <v>191</v>
      </c>
      <c r="S129" s="138">
        <v>45627</v>
      </c>
    </row>
    <row r="130" spans="1:21" x14ac:dyDescent="0.3">
      <c r="A130" s="81" t="s">
        <v>38</v>
      </c>
      <c r="B130" s="27" t="s">
        <v>1837</v>
      </c>
      <c r="C130" s="2" t="s">
        <v>1838</v>
      </c>
      <c r="D130" s="2"/>
      <c r="E130" s="2" t="s">
        <v>1839</v>
      </c>
      <c r="F130" s="19" t="s">
        <v>1840</v>
      </c>
      <c r="G130" s="2" t="s">
        <v>1841</v>
      </c>
      <c r="H130" s="2" t="s">
        <v>1721</v>
      </c>
      <c r="I130" s="2">
        <v>1</v>
      </c>
      <c r="J130" s="2"/>
      <c r="K130" s="5" t="s">
        <v>1817</v>
      </c>
      <c r="L130" s="2"/>
      <c r="M130" s="2" t="s">
        <v>1804</v>
      </c>
      <c r="N130" s="95">
        <v>45566</v>
      </c>
      <c r="O130" s="2"/>
      <c r="P130" s="2" t="s">
        <v>28</v>
      </c>
      <c r="Q130" s="95">
        <v>45028</v>
      </c>
      <c r="R130" s="282" t="s">
        <v>38</v>
      </c>
      <c r="S130" s="137">
        <v>45627</v>
      </c>
    </row>
    <row r="131" spans="1:21" x14ac:dyDescent="0.3">
      <c r="A131" s="81" t="s">
        <v>123</v>
      </c>
      <c r="B131" s="27" t="s">
        <v>1842</v>
      </c>
      <c r="C131" s="2" t="s">
        <v>1843</v>
      </c>
      <c r="D131" s="2" t="s">
        <v>1824</v>
      </c>
      <c r="E131" s="2" t="s">
        <v>1844</v>
      </c>
      <c r="F131" s="2" t="s">
        <v>1712</v>
      </c>
      <c r="G131" s="2"/>
      <c r="H131" s="2" t="s">
        <v>24</v>
      </c>
      <c r="I131" s="2">
        <v>149.77000000000001</v>
      </c>
      <c r="J131" s="2"/>
      <c r="K131" s="2">
        <v>8</v>
      </c>
      <c r="L131" s="2">
        <v>20</v>
      </c>
      <c r="M131" s="2" t="s">
        <v>1782</v>
      </c>
      <c r="N131" s="112">
        <v>45413</v>
      </c>
      <c r="O131" s="2" t="s">
        <v>1836</v>
      </c>
      <c r="P131" s="2" t="s">
        <v>28</v>
      </c>
      <c r="Q131" s="2" t="s">
        <v>1782</v>
      </c>
      <c r="R131" s="18" t="s">
        <v>123</v>
      </c>
      <c r="S131" s="18" t="s">
        <v>1831</v>
      </c>
    </row>
    <row r="132" spans="1:21" x14ac:dyDescent="0.3">
      <c r="A132" s="81" t="s">
        <v>38</v>
      </c>
      <c r="B132" s="36" t="s">
        <v>1845</v>
      </c>
      <c r="C132" s="385" t="s">
        <v>1846</v>
      </c>
      <c r="D132" s="2" t="s">
        <v>1704</v>
      </c>
      <c r="E132" s="19">
        <v>232866276</v>
      </c>
      <c r="F132" s="2" t="s">
        <v>1687</v>
      </c>
      <c r="G132" s="2" t="s">
        <v>1847</v>
      </c>
      <c r="H132" s="20" t="s">
        <v>1848</v>
      </c>
      <c r="I132" s="20">
        <v>63.603000000000002</v>
      </c>
      <c r="J132" s="2"/>
      <c r="K132" s="5">
        <v>3</v>
      </c>
      <c r="L132" s="5">
        <v>20</v>
      </c>
      <c r="M132" s="2" t="s">
        <v>1786</v>
      </c>
      <c r="N132" s="95" t="s">
        <v>1849</v>
      </c>
      <c r="O132" s="2" t="s">
        <v>1850</v>
      </c>
      <c r="P132" s="2" t="s">
        <v>28</v>
      </c>
      <c r="Q132" s="19" t="s">
        <v>1851</v>
      </c>
      <c r="R132" t="s">
        <v>38</v>
      </c>
      <c r="S132" s="389" t="s">
        <v>1852</v>
      </c>
    </row>
    <row r="133" spans="1:21" x14ac:dyDescent="0.3">
      <c r="A133" s="81" t="s">
        <v>245</v>
      </c>
      <c r="B133" t="s">
        <v>1695</v>
      </c>
      <c r="C133" s="18" t="s">
        <v>1853</v>
      </c>
      <c r="D133" s="18" t="s">
        <v>1854</v>
      </c>
      <c r="E133" s="18" t="s">
        <v>1855</v>
      </c>
      <c r="F133" s="81" t="s">
        <v>1856</v>
      </c>
      <c r="G133" s="18" t="s">
        <v>1296</v>
      </c>
      <c r="H133" s="18" t="s">
        <v>70</v>
      </c>
      <c r="I133" s="18">
        <v>1310.4000000000001</v>
      </c>
      <c r="N133" t="s">
        <v>1856</v>
      </c>
      <c r="P133" s="18" t="s">
        <v>121</v>
      </c>
      <c r="Q133" t="s">
        <v>1851</v>
      </c>
      <c r="R133" t="s">
        <v>55</v>
      </c>
      <c r="S133" t="s">
        <v>1856</v>
      </c>
    </row>
    <row r="134" spans="1:21" x14ac:dyDescent="0.3">
      <c r="A134" s="81" t="s">
        <v>55</v>
      </c>
      <c r="B134" s="20" t="s">
        <v>1302</v>
      </c>
      <c r="C134" s="2" t="s">
        <v>1838</v>
      </c>
      <c r="D134" s="2"/>
      <c r="E134" s="2" t="s">
        <v>1857</v>
      </c>
      <c r="F134" s="2" t="s">
        <v>1858</v>
      </c>
      <c r="G134" s="2" t="s">
        <v>1296</v>
      </c>
      <c r="H134" s="2" t="s">
        <v>865</v>
      </c>
      <c r="I134" s="2">
        <v>33</v>
      </c>
      <c r="J134" s="2"/>
      <c r="K134" s="5">
        <v>1</v>
      </c>
      <c r="L134" s="2"/>
      <c r="M134" s="2" t="s">
        <v>1852</v>
      </c>
      <c r="N134" s="2"/>
      <c r="O134" s="2"/>
      <c r="P134" s="2" t="s">
        <v>121</v>
      </c>
      <c r="Q134" s="2" t="s">
        <v>1859</v>
      </c>
      <c r="R134" s="18" t="s">
        <v>55</v>
      </c>
      <c r="S134" s="18" t="s">
        <v>1860</v>
      </c>
    </row>
    <row r="135" spans="1:21" x14ac:dyDescent="0.3">
      <c r="A135" s="81" t="s">
        <v>38</v>
      </c>
      <c r="B135" s="316" t="s">
        <v>1314</v>
      </c>
      <c r="C135" s="19" t="s">
        <v>1861</v>
      </c>
      <c r="D135" s="95">
        <v>45119</v>
      </c>
      <c r="E135" s="252" t="s">
        <v>1862</v>
      </c>
      <c r="F135" s="95">
        <v>45566</v>
      </c>
      <c r="G135" s="2" t="s">
        <v>1318</v>
      </c>
      <c r="H135" s="7" t="s">
        <v>152</v>
      </c>
      <c r="I135" s="8">
        <v>20</v>
      </c>
      <c r="J135" s="2"/>
      <c r="K135" s="5">
        <v>1</v>
      </c>
      <c r="L135" s="5">
        <v>20</v>
      </c>
      <c r="M135" s="94" t="s">
        <v>1851</v>
      </c>
      <c r="N135" s="287" t="s">
        <v>1860</v>
      </c>
      <c r="O135" s="112">
        <v>45567</v>
      </c>
      <c r="P135" s="2" t="s">
        <v>28</v>
      </c>
      <c r="Q135" s="2" t="s">
        <v>1850</v>
      </c>
      <c r="R135" t="s">
        <v>38</v>
      </c>
      <c r="S135" s="137">
        <v>45293</v>
      </c>
    </row>
    <row r="136" spans="1:21" x14ac:dyDescent="0.3">
      <c r="A136" s="81" t="s">
        <v>60</v>
      </c>
      <c r="B136" s="316" t="s">
        <v>1314</v>
      </c>
      <c r="C136" s="29" t="s">
        <v>1863</v>
      </c>
      <c r="D136" s="286">
        <v>45150</v>
      </c>
      <c r="E136" s="252" t="s">
        <v>1864</v>
      </c>
      <c r="F136" s="286">
        <v>45566</v>
      </c>
      <c r="G136" s="252" t="s">
        <v>1318</v>
      </c>
      <c r="H136" s="66" t="s">
        <v>152</v>
      </c>
      <c r="I136" s="10">
        <v>20</v>
      </c>
      <c r="J136" s="252"/>
      <c r="K136" s="252">
        <v>1</v>
      </c>
      <c r="L136" s="252">
        <v>20</v>
      </c>
      <c r="M136" s="94" t="s">
        <v>1851</v>
      </c>
      <c r="N136" s="287" t="s">
        <v>1860</v>
      </c>
      <c r="O136" s="112">
        <v>45567</v>
      </c>
      <c r="P136" s="252" t="s">
        <v>121</v>
      </c>
      <c r="Q136" s="252" t="s">
        <v>1856</v>
      </c>
      <c r="R136" s="282" t="s">
        <v>38</v>
      </c>
      <c r="S136" s="320">
        <v>45293</v>
      </c>
    </row>
    <row r="137" spans="1:21" ht="28.8" x14ac:dyDescent="0.3">
      <c r="A137" s="81" t="s">
        <v>123</v>
      </c>
      <c r="B137" s="356" t="s">
        <v>1675</v>
      </c>
      <c r="C137" s="219" t="s">
        <v>1865</v>
      </c>
      <c r="D137" s="2" t="s">
        <v>1851</v>
      </c>
      <c r="E137" s="2" t="s">
        <v>1866</v>
      </c>
      <c r="F137" s="2" t="s">
        <v>1860</v>
      </c>
      <c r="G137" s="2" t="s">
        <v>1296</v>
      </c>
      <c r="H137" s="249" t="s">
        <v>1867</v>
      </c>
      <c r="I137" s="250">
        <v>30</v>
      </c>
      <c r="J137" s="2"/>
      <c r="K137" s="2"/>
      <c r="L137" s="2"/>
      <c r="M137" s="112" t="s">
        <v>1868</v>
      </c>
      <c r="N137" s="2"/>
      <c r="O137" s="112">
        <v>45324</v>
      </c>
      <c r="P137" s="2" t="s">
        <v>1869</v>
      </c>
      <c r="Q137" s="112">
        <v>45293</v>
      </c>
      <c r="R137" t="s">
        <v>123</v>
      </c>
      <c r="S137" s="137">
        <v>45324</v>
      </c>
    </row>
    <row r="138" spans="1:21" x14ac:dyDescent="0.3">
      <c r="A138" s="81" t="s">
        <v>38</v>
      </c>
      <c r="B138" s="316" t="s">
        <v>1870</v>
      </c>
      <c r="C138" s="19" t="s">
        <v>1871</v>
      </c>
      <c r="D138" s="95">
        <v>45211</v>
      </c>
      <c r="E138" s="19" t="s">
        <v>1872</v>
      </c>
      <c r="F138" s="19" t="s">
        <v>1784</v>
      </c>
      <c r="G138" s="2" t="s">
        <v>1318</v>
      </c>
      <c r="H138" s="20" t="s">
        <v>1873</v>
      </c>
      <c r="I138" s="2">
        <v>8540.5</v>
      </c>
      <c r="J138" s="2"/>
      <c r="K138" s="5">
        <v>1</v>
      </c>
      <c r="L138" s="5">
        <v>20</v>
      </c>
      <c r="M138" s="95">
        <v>45444</v>
      </c>
      <c r="N138" s="2" t="s">
        <v>1852</v>
      </c>
      <c r="O138" s="112">
        <v>45475</v>
      </c>
      <c r="P138" s="2" t="s">
        <v>28</v>
      </c>
      <c r="Q138" s="2" t="s">
        <v>1831</v>
      </c>
      <c r="R138" s="18" t="s">
        <v>38</v>
      </c>
      <c r="S138" s="138">
        <v>45384</v>
      </c>
    </row>
    <row r="139" spans="1:21" ht="28.8" x14ac:dyDescent="0.3">
      <c r="A139" s="81" t="s">
        <v>60</v>
      </c>
      <c r="B139" s="252" t="s">
        <v>891</v>
      </c>
      <c r="C139" s="252" t="s">
        <v>1874</v>
      </c>
      <c r="D139" s="252"/>
      <c r="E139" s="252" t="s">
        <v>1875</v>
      </c>
      <c r="F139" s="252" t="s">
        <v>1876</v>
      </c>
      <c r="G139" s="252" t="s">
        <v>1296</v>
      </c>
      <c r="H139" s="252" t="s">
        <v>1877</v>
      </c>
      <c r="I139" s="252">
        <v>4</v>
      </c>
      <c r="J139" s="252"/>
      <c r="K139" s="252"/>
      <c r="L139" s="252"/>
      <c r="M139" s="252"/>
      <c r="N139" s="252"/>
      <c r="O139" s="252"/>
      <c r="P139" s="252" t="s">
        <v>28</v>
      </c>
      <c r="Q139" s="252"/>
      <c r="R139" s="74" t="s">
        <v>38</v>
      </c>
      <c r="S139" s="137">
        <v>45445</v>
      </c>
    </row>
    <row r="140" spans="1:21" ht="43.2" x14ac:dyDescent="0.3">
      <c r="A140" s="81" t="s">
        <v>123</v>
      </c>
      <c r="B140" s="356" t="s">
        <v>1878</v>
      </c>
      <c r="C140" s="219" t="s">
        <v>1879</v>
      </c>
      <c r="D140" s="219" t="s">
        <v>1880</v>
      </c>
      <c r="E140" s="219" t="s">
        <v>1881</v>
      </c>
      <c r="F140" s="219" t="s">
        <v>1882</v>
      </c>
      <c r="G140" s="219" t="s">
        <v>1296</v>
      </c>
      <c r="H140" s="249" t="s">
        <v>1883</v>
      </c>
      <c r="I140" s="250">
        <v>50</v>
      </c>
      <c r="J140" s="2"/>
      <c r="K140" s="2">
        <v>2</v>
      </c>
      <c r="L140" s="2"/>
      <c r="M140" s="112">
        <v>45384</v>
      </c>
      <c r="N140" s="2"/>
      <c r="O140" s="2"/>
      <c r="P140" s="2" t="s">
        <v>28</v>
      </c>
      <c r="Q140" s="112">
        <v>45384</v>
      </c>
      <c r="R140" s="74" t="s">
        <v>1884</v>
      </c>
      <c r="S140" s="137">
        <v>45475</v>
      </c>
    </row>
    <row r="141" spans="1:21" x14ac:dyDescent="0.3">
      <c r="A141" s="81" t="s">
        <v>60</v>
      </c>
      <c r="B141" s="27" t="s">
        <v>1673</v>
      </c>
      <c r="C141" s="390" t="s">
        <v>1885</v>
      </c>
      <c r="D141" s="252"/>
      <c r="E141" s="252"/>
      <c r="F141" s="252"/>
      <c r="G141" s="252" t="s">
        <v>1296</v>
      </c>
      <c r="H141" s="362" t="s">
        <v>1886</v>
      </c>
      <c r="I141" s="252">
        <v>41</v>
      </c>
      <c r="J141" s="252"/>
      <c r="K141" s="252">
        <v>1</v>
      </c>
      <c r="L141" s="252"/>
      <c r="M141" s="252"/>
      <c r="N141" s="286">
        <v>45598</v>
      </c>
      <c r="O141" s="252"/>
      <c r="P141" s="252" t="s">
        <v>28</v>
      </c>
      <c r="Q141" s="252"/>
      <c r="R141" s="74" t="s">
        <v>191</v>
      </c>
      <c r="S141" t="s">
        <v>1887</v>
      </c>
      <c r="U141" t="s">
        <v>1888</v>
      </c>
    </row>
    <row r="142" spans="1:21" x14ac:dyDescent="0.3">
      <c r="A142" s="81" t="s">
        <v>60</v>
      </c>
      <c r="B142" s="27" t="s">
        <v>1673</v>
      </c>
      <c r="C142" s="390" t="s">
        <v>1889</v>
      </c>
      <c r="D142" s="252"/>
      <c r="E142" s="252"/>
      <c r="F142" s="252"/>
      <c r="G142" s="252" t="s">
        <v>1296</v>
      </c>
      <c r="H142" s="362" t="s">
        <v>1886</v>
      </c>
      <c r="I142" s="252">
        <v>343</v>
      </c>
      <c r="J142" s="252"/>
      <c r="K142" s="252">
        <v>1</v>
      </c>
      <c r="L142" s="252"/>
      <c r="M142" s="252"/>
      <c r="N142" s="252"/>
      <c r="O142" s="252"/>
      <c r="P142" s="252" t="s">
        <v>28</v>
      </c>
      <c r="Q142" s="252"/>
      <c r="R142" s="74" t="s">
        <v>191</v>
      </c>
      <c r="S142" t="s">
        <v>1887</v>
      </c>
      <c r="U142" t="s">
        <v>1888</v>
      </c>
    </row>
    <row r="143" spans="1:21" ht="28.8" x14ac:dyDescent="0.3">
      <c r="A143" s="81" t="s">
        <v>123</v>
      </c>
      <c r="B143" s="356" t="s">
        <v>1675</v>
      </c>
      <c r="C143" s="219" t="s">
        <v>1890</v>
      </c>
      <c r="D143" s="2" t="s">
        <v>1851</v>
      </c>
      <c r="E143" s="219" t="s">
        <v>1891</v>
      </c>
      <c r="F143" s="112">
        <v>45598</v>
      </c>
      <c r="G143" s="2" t="s">
        <v>1296</v>
      </c>
      <c r="H143" s="249" t="s">
        <v>1892</v>
      </c>
      <c r="I143" s="2">
        <v>30</v>
      </c>
      <c r="J143" s="2"/>
      <c r="K143" s="2">
        <v>1</v>
      </c>
      <c r="L143" s="2"/>
      <c r="M143" s="2" t="s">
        <v>1893</v>
      </c>
      <c r="N143" s="2" t="s">
        <v>1888</v>
      </c>
      <c r="O143" s="2">
        <v>2</v>
      </c>
      <c r="P143" s="2" t="s">
        <v>1894</v>
      </c>
      <c r="Q143" s="2" t="s">
        <v>1893</v>
      </c>
      <c r="R143" s="18" t="s">
        <v>123</v>
      </c>
      <c r="S143" s="18" t="s">
        <v>1888</v>
      </c>
    </row>
    <row r="144" spans="1:21" x14ac:dyDescent="0.3">
      <c r="A144" s="81" t="s">
        <v>38</v>
      </c>
      <c r="B144" s="36" t="s">
        <v>1778</v>
      </c>
      <c r="C144" s="2" t="s">
        <v>1895</v>
      </c>
      <c r="D144" s="19" t="s">
        <v>1742</v>
      </c>
      <c r="E144" s="2" t="s">
        <v>1896</v>
      </c>
      <c r="F144" s="95">
        <v>44938</v>
      </c>
      <c r="G144" s="2" t="s">
        <v>1897</v>
      </c>
      <c r="H144" s="20" t="s">
        <v>1422</v>
      </c>
      <c r="I144" s="2">
        <v>23.92</v>
      </c>
      <c r="J144" s="2"/>
      <c r="K144" s="5">
        <v>1</v>
      </c>
      <c r="L144" s="5">
        <v>20</v>
      </c>
      <c r="M144" s="2" t="s">
        <v>1836</v>
      </c>
      <c r="N144" s="95">
        <v>45475</v>
      </c>
      <c r="O144" s="2" t="s">
        <v>1898</v>
      </c>
      <c r="P144" s="2" t="s">
        <v>28</v>
      </c>
      <c r="Q144" s="19" t="s">
        <v>1899</v>
      </c>
      <c r="R144" t="s">
        <v>38</v>
      </c>
      <c r="S144" s="137" t="s">
        <v>1900</v>
      </c>
    </row>
    <row r="145" spans="1:19" x14ac:dyDescent="0.3">
      <c r="A145" s="81" t="s">
        <v>38</v>
      </c>
      <c r="B145" s="36" t="s">
        <v>1778</v>
      </c>
      <c r="C145" t="s">
        <v>1895</v>
      </c>
      <c r="D145" s="19" t="s">
        <v>1742</v>
      </c>
      <c r="E145" s="19">
        <v>233124807</v>
      </c>
      <c r="F145" s="2" t="s">
        <v>1687</v>
      </c>
      <c r="G145" s="2" t="s">
        <v>1421</v>
      </c>
      <c r="H145" s="20" t="s">
        <v>1422</v>
      </c>
      <c r="I145" s="2">
        <v>71.78</v>
      </c>
      <c r="J145" s="2"/>
      <c r="K145" s="5">
        <v>3</v>
      </c>
      <c r="L145" s="5">
        <v>20</v>
      </c>
      <c r="M145" s="2" t="s">
        <v>1856</v>
      </c>
      <c r="N145" s="95" t="s">
        <v>1868</v>
      </c>
      <c r="O145" s="2" t="s">
        <v>1893</v>
      </c>
      <c r="P145" s="2" t="s">
        <v>28</v>
      </c>
      <c r="Q145" s="19" t="s">
        <v>1901</v>
      </c>
      <c r="R145" t="s">
        <v>38</v>
      </c>
      <c r="S145" t="s">
        <v>1902</v>
      </c>
    </row>
    <row r="146" spans="1:19" ht="115.2" x14ac:dyDescent="0.3">
      <c r="A146" s="81" t="s">
        <v>38</v>
      </c>
      <c r="B146" s="27" t="s">
        <v>39</v>
      </c>
      <c r="C146" s="6" t="s">
        <v>1903</v>
      </c>
      <c r="D146" s="19" t="s">
        <v>1736</v>
      </c>
      <c r="E146" s="19">
        <v>234572068</v>
      </c>
      <c r="F146" s="19" t="s">
        <v>1799</v>
      </c>
      <c r="G146" s="2" t="s">
        <v>1904</v>
      </c>
      <c r="H146" s="20" t="s">
        <v>1905</v>
      </c>
      <c r="I146" s="8">
        <v>517.99099999999999</v>
      </c>
      <c r="J146" s="2"/>
      <c r="K146" s="5">
        <v>20</v>
      </c>
      <c r="L146" s="5">
        <v>40</v>
      </c>
      <c r="M146" s="94">
        <v>45475</v>
      </c>
      <c r="N146" s="2" t="s">
        <v>1898</v>
      </c>
      <c r="O146" s="112">
        <v>45385</v>
      </c>
      <c r="P146" s="2" t="s">
        <v>28</v>
      </c>
      <c r="Q146" s="2" t="s">
        <v>1860</v>
      </c>
      <c r="R146" s="343" t="s">
        <v>1906</v>
      </c>
      <c r="S146" s="314" t="s">
        <v>1907</v>
      </c>
    </row>
    <row r="147" spans="1:19" x14ac:dyDescent="0.3">
      <c r="A147" s="81" t="s">
        <v>55</v>
      </c>
      <c r="B147" s="371" t="s">
        <v>240</v>
      </c>
      <c r="C147" t="s">
        <v>1908</v>
      </c>
      <c r="D147" s="166">
        <v>45505</v>
      </c>
      <c r="E147" s="125" t="s">
        <v>1909</v>
      </c>
      <c r="F147" s="370" t="s">
        <v>1781</v>
      </c>
      <c r="G147" s="125" t="s">
        <v>1910</v>
      </c>
      <c r="H147" s="125" t="s">
        <v>1911</v>
      </c>
      <c r="I147" s="125">
        <v>486.06</v>
      </c>
      <c r="J147" s="125"/>
      <c r="K147" s="163">
        <v>20</v>
      </c>
      <c r="L147" s="163">
        <v>20</v>
      </c>
      <c r="M147" s="166">
        <v>45475</v>
      </c>
      <c r="N147" s="125" t="s">
        <v>1912</v>
      </c>
      <c r="O147" s="148" t="s">
        <v>1913</v>
      </c>
      <c r="P147" s="125" t="s">
        <v>28</v>
      </c>
      <c r="Q147" s="125" t="s">
        <v>1914</v>
      </c>
      <c r="R147" t="s">
        <v>55</v>
      </c>
      <c r="S147" s="137">
        <v>45294</v>
      </c>
    </row>
    <row r="148" spans="1:19" ht="28.8" x14ac:dyDescent="0.3">
      <c r="A148" s="81" t="s">
        <v>60</v>
      </c>
      <c r="B148" s="261" t="s">
        <v>895</v>
      </c>
      <c r="C148" s="2" t="s">
        <v>1915</v>
      </c>
      <c r="D148" s="252" t="s">
        <v>1888</v>
      </c>
      <c r="E148" s="251">
        <v>524304474</v>
      </c>
      <c r="F148" s="252" t="s">
        <v>1899</v>
      </c>
      <c r="G148" s="252" t="s">
        <v>1340</v>
      </c>
      <c r="H148" s="252" t="s">
        <v>1916</v>
      </c>
      <c r="I148" s="252">
        <v>5</v>
      </c>
      <c r="J148" s="252"/>
      <c r="K148" s="252"/>
      <c r="L148" s="252"/>
      <c r="M148" s="286">
        <v>45294</v>
      </c>
      <c r="N148" s="286">
        <v>45385</v>
      </c>
      <c r="O148" s="252"/>
      <c r="P148" s="252" t="s">
        <v>121</v>
      </c>
      <c r="Q148" s="252" t="s">
        <v>1917</v>
      </c>
      <c r="R148" t="s">
        <v>38</v>
      </c>
      <c r="S148" s="137">
        <v>45354</v>
      </c>
    </row>
    <row r="149" spans="1:19" ht="28.8" x14ac:dyDescent="0.3">
      <c r="A149" s="81" t="s">
        <v>60</v>
      </c>
      <c r="B149" s="252" t="s">
        <v>1796</v>
      </c>
      <c r="C149" s="252" t="s">
        <v>1918</v>
      </c>
      <c r="D149" s="252" t="s">
        <v>1898</v>
      </c>
      <c r="E149" s="252" t="s">
        <v>1919</v>
      </c>
      <c r="F149" s="252" t="s">
        <v>1920</v>
      </c>
      <c r="G149" s="252" t="s">
        <v>1296</v>
      </c>
      <c r="H149" s="252" t="s">
        <v>209</v>
      </c>
      <c r="I149" s="252">
        <v>40.084000000000003</v>
      </c>
      <c r="J149" s="252"/>
      <c r="K149" s="252">
        <v>2</v>
      </c>
      <c r="L149" s="252"/>
      <c r="M149" s="286"/>
      <c r="N149" s="286"/>
      <c r="O149" s="252"/>
      <c r="P149" s="252" t="s">
        <v>212</v>
      </c>
      <c r="Q149" s="252"/>
      <c r="R149" t="s">
        <v>191</v>
      </c>
      <c r="S149" s="137">
        <v>45415</v>
      </c>
    </row>
    <row r="150" spans="1:19" ht="43.2" x14ac:dyDescent="0.3">
      <c r="A150" s="81" t="s">
        <v>38</v>
      </c>
      <c r="B150" s="371" t="s">
        <v>1845</v>
      </c>
      <c r="C150" s="385" t="s">
        <v>1846</v>
      </c>
      <c r="D150" s="102" t="s">
        <v>1704</v>
      </c>
      <c r="E150" s="102">
        <v>232867085</v>
      </c>
      <c r="F150" s="102" t="s">
        <v>1687</v>
      </c>
      <c r="G150" s="100" t="s">
        <v>1847</v>
      </c>
      <c r="H150" s="104" t="s">
        <v>1848</v>
      </c>
      <c r="I150" s="104">
        <v>429.435</v>
      </c>
      <c r="J150" s="100"/>
      <c r="K150" s="105">
        <v>19</v>
      </c>
      <c r="L150" s="105">
        <v>20</v>
      </c>
      <c r="M150" s="100" t="s">
        <v>1921</v>
      </c>
      <c r="N150" s="279">
        <v>45538</v>
      </c>
      <c r="O150" s="100" t="s">
        <v>1922</v>
      </c>
      <c r="P150" s="100" t="s">
        <v>28</v>
      </c>
      <c r="Q150" s="102" t="s">
        <v>1921</v>
      </c>
      <c r="R150" s="315" t="s">
        <v>1923</v>
      </c>
      <c r="S150" s="314" t="s">
        <v>1924</v>
      </c>
    </row>
    <row r="151" spans="1:19" ht="28.8" x14ac:dyDescent="0.3">
      <c r="A151" s="81" t="s">
        <v>60</v>
      </c>
      <c r="B151" s="316" t="s">
        <v>1925</v>
      </c>
      <c r="C151" s="29" t="s">
        <v>1252</v>
      </c>
      <c r="D151" s="252"/>
      <c r="E151" s="19">
        <v>234554713</v>
      </c>
      <c r="F151" s="252" t="s">
        <v>1763</v>
      </c>
      <c r="G151" s="252" t="s">
        <v>1897</v>
      </c>
      <c r="H151" s="66" t="s">
        <v>1926</v>
      </c>
      <c r="I151" s="391">
        <v>22</v>
      </c>
      <c r="J151" s="252"/>
      <c r="K151" s="252">
        <v>1</v>
      </c>
      <c r="L151" s="252">
        <v>40</v>
      </c>
      <c r="M151" s="251" t="s">
        <v>1927</v>
      </c>
      <c r="N151" s="287" t="s">
        <v>1928</v>
      </c>
      <c r="O151" s="252" t="s">
        <v>1929</v>
      </c>
      <c r="P151" s="252" t="s">
        <v>28</v>
      </c>
      <c r="Q151" s="252" t="s">
        <v>1930</v>
      </c>
      <c r="R151" s="282" t="s">
        <v>1931</v>
      </c>
      <c r="S151" s="320" t="s">
        <v>1932</v>
      </c>
    </row>
    <row r="152" spans="1:19" ht="28.8" x14ac:dyDescent="0.3">
      <c r="A152" s="81" t="s">
        <v>123</v>
      </c>
      <c r="B152" s="356" t="s">
        <v>1933</v>
      </c>
      <c r="C152" s="219" t="s">
        <v>1934</v>
      </c>
      <c r="D152" s="219" t="s">
        <v>1935</v>
      </c>
      <c r="E152" s="219" t="s">
        <v>1936</v>
      </c>
      <c r="F152" s="219" t="s">
        <v>1937</v>
      </c>
      <c r="G152" s="219" t="s">
        <v>1938</v>
      </c>
      <c r="H152" s="249" t="s">
        <v>1939</v>
      </c>
      <c r="I152" s="250">
        <v>5040</v>
      </c>
      <c r="J152" s="2"/>
      <c r="K152" s="2"/>
      <c r="L152" s="2"/>
      <c r="M152" s="2"/>
      <c r="N152" s="112">
        <v>45538</v>
      </c>
      <c r="O152" s="2"/>
      <c r="P152" s="2" t="s">
        <v>28</v>
      </c>
      <c r="Q152" s="2" t="s">
        <v>1920</v>
      </c>
      <c r="R152" t="s">
        <v>287</v>
      </c>
      <c r="S152" s="137">
        <v>45599</v>
      </c>
    </row>
    <row r="153" spans="1:19" x14ac:dyDescent="0.3">
      <c r="A153" s="81" t="s">
        <v>38</v>
      </c>
      <c r="B153" s="36" t="s">
        <v>1832</v>
      </c>
      <c r="C153" s="2" t="s">
        <v>1833</v>
      </c>
      <c r="D153" s="19" t="s">
        <v>1620</v>
      </c>
      <c r="E153" s="2" t="s">
        <v>1940</v>
      </c>
      <c r="F153" s="19" t="s">
        <v>1941</v>
      </c>
      <c r="G153" s="2" t="s">
        <v>1702</v>
      </c>
      <c r="H153" s="20" t="s">
        <v>1942</v>
      </c>
      <c r="I153" s="2">
        <v>20.399999999999999</v>
      </c>
      <c r="J153" s="2"/>
      <c r="K153" s="5">
        <v>1</v>
      </c>
      <c r="L153" s="5">
        <v>20</v>
      </c>
      <c r="M153" s="95">
        <v>45629</v>
      </c>
      <c r="N153" s="95" t="s">
        <v>1943</v>
      </c>
      <c r="O153" s="2" t="s">
        <v>1944</v>
      </c>
      <c r="P153" s="2" t="s">
        <v>28</v>
      </c>
      <c r="Q153" s="95">
        <v>45323</v>
      </c>
      <c r="R153" s="18" t="s">
        <v>191</v>
      </c>
      <c r="S153" s="137" t="s">
        <v>1945</v>
      </c>
    </row>
    <row r="154" spans="1:19" x14ac:dyDescent="0.3">
      <c r="A154" s="81" t="s">
        <v>38</v>
      </c>
      <c r="B154" s="36" t="s">
        <v>1832</v>
      </c>
      <c r="C154" s="2" t="s">
        <v>1946</v>
      </c>
      <c r="D154" s="19" t="s">
        <v>1613</v>
      </c>
      <c r="E154" s="2" t="s">
        <v>1947</v>
      </c>
      <c r="F154" s="19" t="s">
        <v>1941</v>
      </c>
      <c r="G154" s="2" t="s">
        <v>1702</v>
      </c>
      <c r="H154" s="2" t="s">
        <v>1948</v>
      </c>
      <c r="I154" s="2">
        <v>102</v>
      </c>
      <c r="J154" s="2"/>
      <c r="K154" s="5">
        <v>5</v>
      </c>
      <c r="L154" s="5">
        <v>20</v>
      </c>
      <c r="M154" s="95">
        <v>45629</v>
      </c>
      <c r="N154" s="95" t="s">
        <v>1943</v>
      </c>
      <c r="O154" s="2" t="s">
        <v>1944</v>
      </c>
      <c r="P154" s="2" t="s">
        <v>28</v>
      </c>
      <c r="Q154" s="95">
        <v>45323</v>
      </c>
      <c r="R154" s="18" t="s">
        <v>191</v>
      </c>
      <c r="S154" s="137" t="s">
        <v>1945</v>
      </c>
    </row>
    <row r="155" spans="1:19" ht="28.8" x14ac:dyDescent="0.3">
      <c r="A155" s="81" t="s">
        <v>60</v>
      </c>
      <c r="B155" s="261" t="s">
        <v>490</v>
      </c>
      <c r="C155" s="2" t="s">
        <v>1949</v>
      </c>
      <c r="D155" s="252" t="s">
        <v>1784</v>
      </c>
      <c r="E155" s="251">
        <v>235282932</v>
      </c>
      <c r="F155" s="252" t="s">
        <v>1860</v>
      </c>
      <c r="G155" s="252" t="s">
        <v>1232</v>
      </c>
      <c r="H155" s="252" t="s">
        <v>1234</v>
      </c>
      <c r="I155" s="252">
        <v>21.5</v>
      </c>
      <c r="J155" s="252"/>
      <c r="K155" s="252">
        <v>1</v>
      </c>
      <c r="L155" s="252">
        <v>20</v>
      </c>
      <c r="M155" s="286" t="s">
        <v>1950</v>
      </c>
      <c r="N155" s="252" t="s">
        <v>1930</v>
      </c>
      <c r="O155" s="252" t="s">
        <v>1951</v>
      </c>
      <c r="P155" s="252" t="s">
        <v>121</v>
      </c>
      <c r="Q155" s="287">
        <v>45294</v>
      </c>
      <c r="R155" s="282" t="s">
        <v>191</v>
      </c>
      <c r="S155" s="320" t="s">
        <v>1945</v>
      </c>
    </row>
    <row r="156" spans="1:19" ht="57.6" x14ac:dyDescent="0.3">
      <c r="A156" s="81" t="s">
        <v>38</v>
      </c>
      <c r="B156" s="36" t="s">
        <v>1832</v>
      </c>
      <c r="C156" s="2" t="s">
        <v>1952</v>
      </c>
      <c r="D156" s="95">
        <v>44997</v>
      </c>
      <c r="E156" s="2" t="s">
        <v>1953</v>
      </c>
      <c r="F156" s="95">
        <v>45181</v>
      </c>
      <c r="G156" s="2" t="s">
        <v>1702</v>
      </c>
      <c r="H156" s="2" t="s">
        <v>1954</v>
      </c>
      <c r="I156" s="2">
        <v>492.06</v>
      </c>
      <c r="J156" s="2"/>
      <c r="K156" s="5" t="s">
        <v>1955</v>
      </c>
      <c r="L156" s="5">
        <v>20</v>
      </c>
      <c r="M156" s="95">
        <v>45629</v>
      </c>
      <c r="N156" s="95" t="s">
        <v>1943</v>
      </c>
      <c r="O156" s="2" t="s">
        <v>1929</v>
      </c>
      <c r="P156" s="266" t="s">
        <v>1956</v>
      </c>
      <c r="Q156" s="2" t="s">
        <v>1850</v>
      </c>
      <c r="R156" s="343" t="s">
        <v>1957</v>
      </c>
      <c r="S156" s="343" t="s">
        <v>1958</v>
      </c>
    </row>
    <row r="157" spans="1:19" ht="57.6" x14ac:dyDescent="0.3">
      <c r="A157" s="81" t="s">
        <v>38</v>
      </c>
      <c r="B157" s="36" t="s">
        <v>1744</v>
      </c>
      <c r="C157" s="2" t="s">
        <v>1959</v>
      </c>
      <c r="D157" s="95">
        <v>45413</v>
      </c>
      <c r="E157" s="392" t="s">
        <v>1960</v>
      </c>
      <c r="F157" s="95">
        <v>45353</v>
      </c>
      <c r="G157" s="2" t="s">
        <v>1462</v>
      </c>
      <c r="H157" s="2" t="s">
        <v>977</v>
      </c>
      <c r="I157" s="2">
        <v>464.29</v>
      </c>
      <c r="J157" s="2"/>
      <c r="K157" s="5">
        <v>22</v>
      </c>
      <c r="L157" s="5">
        <v>20</v>
      </c>
      <c r="M157" s="95">
        <v>45385</v>
      </c>
      <c r="N157" s="2" t="s">
        <v>1932</v>
      </c>
      <c r="O157" s="112">
        <v>45326</v>
      </c>
      <c r="P157" s="2" t="s">
        <v>28</v>
      </c>
      <c r="Q157" s="95">
        <v>45415</v>
      </c>
      <c r="R157" s="315" t="s">
        <v>1961</v>
      </c>
      <c r="S157" s="314" t="s">
        <v>1962</v>
      </c>
    </row>
    <row r="158" spans="1:19" x14ac:dyDescent="0.3">
      <c r="A158" s="81" t="s">
        <v>60</v>
      </c>
      <c r="B158" s="280" t="s">
        <v>1314</v>
      </c>
      <c r="C158" s="393" t="s">
        <v>1963</v>
      </c>
      <c r="D158" s="375" t="s">
        <v>1784</v>
      </c>
      <c r="E158" s="274" t="s">
        <v>1964</v>
      </c>
      <c r="F158" s="375" t="s">
        <v>1902</v>
      </c>
      <c r="G158" s="375" t="s">
        <v>1318</v>
      </c>
      <c r="H158" s="146" t="s">
        <v>152</v>
      </c>
      <c r="I158" s="375">
        <v>20</v>
      </c>
      <c r="J158" s="375"/>
      <c r="K158" s="375">
        <v>1</v>
      </c>
      <c r="L158" s="375">
        <v>20</v>
      </c>
      <c r="M158" s="394">
        <v>45415</v>
      </c>
      <c r="N158" s="394" t="s">
        <v>1945</v>
      </c>
      <c r="O158" s="376">
        <v>45508</v>
      </c>
      <c r="P158" s="375" t="s">
        <v>28</v>
      </c>
      <c r="Q158" s="394">
        <v>45629</v>
      </c>
      <c r="R158" s="282" t="s">
        <v>191</v>
      </c>
      <c r="S158" s="395" t="s">
        <v>1965</v>
      </c>
    </row>
    <row r="159" spans="1:19" x14ac:dyDescent="0.3">
      <c r="A159" s="81" t="s">
        <v>55</v>
      </c>
      <c r="B159" s="2" t="s">
        <v>1966</v>
      </c>
      <c r="C159" s="2" t="s">
        <v>1967</v>
      </c>
      <c r="D159" s="112">
        <v>45446</v>
      </c>
      <c r="E159" s="19" t="s">
        <v>1968</v>
      </c>
      <c r="F159" s="2" t="s">
        <v>1969</v>
      </c>
      <c r="G159" s="2" t="s">
        <v>1296</v>
      </c>
      <c r="H159" s="2" t="s">
        <v>1970</v>
      </c>
      <c r="I159" s="2">
        <v>5</v>
      </c>
      <c r="J159" s="2"/>
      <c r="K159" s="5">
        <v>1</v>
      </c>
      <c r="L159" s="2"/>
      <c r="M159" s="2" t="s">
        <v>1932</v>
      </c>
      <c r="N159" s="2" t="s">
        <v>1922</v>
      </c>
      <c r="O159" s="2"/>
      <c r="P159" s="2" t="s">
        <v>28</v>
      </c>
      <c r="Q159" s="2" t="s">
        <v>1922</v>
      </c>
      <c r="R159" s="18" t="s">
        <v>55</v>
      </c>
      <c r="S159" s="18" t="s">
        <v>1971</v>
      </c>
    </row>
    <row r="160" spans="1:19" x14ac:dyDescent="0.3">
      <c r="A160" s="81" t="s">
        <v>55</v>
      </c>
      <c r="B160" s="316" t="s">
        <v>1314</v>
      </c>
      <c r="C160" s="4" t="s">
        <v>1972</v>
      </c>
      <c r="D160" s="2" t="s">
        <v>1784</v>
      </c>
      <c r="E160" s="51" t="s">
        <v>1973</v>
      </c>
      <c r="F160" s="2" t="s">
        <v>1902</v>
      </c>
      <c r="G160" s="2" t="s">
        <v>1318</v>
      </c>
      <c r="H160" s="7" t="s">
        <v>152</v>
      </c>
      <c r="I160" s="2">
        <v>20.56</v>
      </c>
      <c r="J160" s="2"/>
      <c r="K160" s="5">
        <v>1</v>
      </c>
      <c r="L160" s="5">
        <v>20</v>
      </c>
      <c r="M160" s="95">
        <v>45415</v>
      </c>
      <c r="N160" s="95" t="s">
        <v>1971</v>
      </c>
      <c r="O160" s="2" t="s">
        <v>1974</v>
      </c>
      <c r="P160" s="2" t="s">
        <v>28</v>
      </c>
      <c r="Q160" s="95">
        <v>45568</v>
      </c>
      <c r="R160" t="s">
        <v>55</v>
      </c>
      <c r="S160" s="236" t="s">
        <v>1951</v>
      </c>
    </row>
    <row r="161" spans="1:19" ht="28.8" x14ac:dyDescent="0.3">
      <c r="A161" s="81" t="s">
        <v>38</v>
      </c>
      <c r="B161" s="27" t="s">
        <v>825</v>
      </c>
      <c r="C161" s="2" t="s">
        <v>1975</v>
      </c>
      <c r="D161" s="2" t="s">
        <v>1950</v>
      </c>
      <c r="E161" s="19" t="s">
        <v>1976</v>
      </c>
      <c r="F161" s="19" t="s">
        <v>1965</v>
      </c>
      <c r="G161" s="2" t="s">
        <v>1296</v>
      </c>
      <c r="H161" s="266" t="s">
        <v>1977</v>
      </c>
      <c r="I161" s="244" t="s">
        <v>1978</v>
      </c>
      <c r="J161" s="2"/>
      <c r="K161" s="5">
        <v>1</v>
      </c>
      <c r="L161" s="2"/>
      <c r="M161" s="2" t="s">
        <v>1979</v>
      </c>
      <c r="N161" s="19" t="s">
        <v>1951</v>
      </c>
      <c r="O161" s="2"/>
      <c r="P161" s="2" t="s">
        <v>28</v>
      </c>
      <c r="Q161" s="2" t="s">
        <v>1980</v>
      </c>
      <c r="R161" s="18" t="s">
        <v>38</v>
      </c>
      <c r="S161" s="397" t="s">
        <v>1979</v>
      </c>
    </row>
    <row r="162" spans="1:19" x14ac:dyDescent="0.3">
      <c r="A162" s="81" t="s">
        <v>38</v>
      </c>
      <c r="B162" s="316" t="s">
        <v>1981</v>
      </c>
      <c r="C162" s="19" t="s">
        <v>1982</v>
      </c>
      <c r="D162" s="95">
        <v>45211</v>
      </c>
      <c r="E162" s="2" t="s">
        <v>1983</v>
      </c>
      <c r="F162" s="2" t="s">
        <v>1984</v>
      </c>
      <c r="G162" s="2" t="s">
        <v>1232</v>
      </c>
      <c r="H162" s="7" t="s">
        <v>1234</v>
      </c>
      <c r="I162" s="8">
        <v>20.5</v>
      </c>
      <c r="J162" s="2"/>
      <c r="K162" s="5">
        <v>1</v>
      </c>
      <c r="L162" s="5">
        <v>20</v>
      </c>
      <c r="M162" s="95" t="s">
        <v>1945</v>
      </c>
      <c r="N162" s="95" t="s">
        <v>1985</v>
      </c>
      <c r="O162" s="112">
        <v>45539</v>
      </c>
      <c r="P162" s="2" t="s">
        <v>28</v>
      </c>
      <c r="Q162" s="2" t="s">
        <v>1900</v>
      </c>
      <c r="R162" s="18" t="s">
        <v>38</v>
      </c>
      <c r="S162" s="339">
        <v>45295</v>
      </c>
    </row>
    <row r="163" spans="1:19" ht="28.8" x14ac:dyDescent="0.3">
      <c r="A163" s="81" t="s">
        <v>55</v>
      </c>
      <c r="B163" s="27" t="s">
        <v>1986</v>
      </c>
      <c r="C163" s="2" t="s">
        <v>1987</v>
      </c>
      <c r="D163" s="95">
        <v>45415</v>
      </c>
      <c r="E163" s="19" t="s">
        <v>1988</v>
      </c>
      <c r="F163" s="2" t="s">
        <v>1989</v>
      </c>
      <c r="G163" s="2" t="s">
        <v>1296</v>
      </c>
      <c r="H163" s="266" t="s">
        <v>1990</v>
      </c>
      <c r="I163" s="244" t="s">
        <v>1991</v>
      </c>
      <c r="J163" s="2"/>
      <c r="K163" s="5">
        <v>1</v>
      </c>
      <c r="L163" s="2"/>
      <c r="M163" s="2" t="s">
        <v>1992</v>
      </c>
      <c r="N163" s="19" t="s">
        <v>1980</v>
      </c>
      <c r="O163" s="2"/>
      <c r="P163" s="2" t="s">
        <v>28</v>
      </c>
      <c r="Q163" s="2" t="s">
        <v>1922</v>
      </c>
      <c r="R163" s="74" t="s">
        <v>55</v>
      </c>
      <c r="S163" s="389">
        <v>45326</v>
      </c>
    </row>
    <row r="164" spans="1:19" x14ac:dyDescent="0.3">
      <c r="A164" s="81" t="s">
        <v>60</v>
      </c>
      <c r="B164" s="316" t="s">
        <v>1925</v>
      </c>
      <c r="C164" s="29" t="s">
        <v>1252</v>
      </c>
      <c r="D164" s="252"/>
      <c r="E164" s="236">
        <v>233861997</v>
      </c>
      <c r="F164" s="252" t="s">
        <v>1763</v>
      </c>
      <c r="G164" s="252" t="s">
        <v>1897</v>
      </c>
      <c r="H164" s="66" t="s">
        <v>1926</v>
      </c>
      <c r="I164" s="391">
        <v>22</v>
      </c>
      <c r="J164" s="252"/>
      <c r="K164" s="252">
        <v>1</v>
      </c>
      <c r="L164" s="252">
        <v>40</v>
      </c>
      <c r="M164" s="286" t="s">
        <v>1943</v>
      </c>
      <c r="N164" s="252" t="s">
        <v>1929</v>
      </c>
      <c r="O164" s="286">
        <v>45508</v>
      </c>
      <c r="P164" s="252" t="s">
        <v>28</v>
      </c>
      <c r="Q164" s="251" t="s">
        <v>1930</v>
      </c>
      <c r="R164" s="282" t="s">
        <v>1993</v>
      </c>
      <c r="S164" s="320">
        <v>45355</v>
      </c>
    </row>
    <row r="165" spans="1:19" x14ac:dyDescent="0.3">
      <c r="A165" s="81" t="s">
        <v>38</v>
      </c>
      <c r="B165" s="36" t="s">
        <v>510</v>
      </c>
      <c r="C165" s="2" t="s">
        <v>1994</v>
      </c>
      <c r="D165" s="95">
        <v>45474</v>
      </c>
      <c r="E165" s="2" t="s">
        <v>1995</v>
      </c>
      <c r="F165" s="95">
        <v>45597</v>
      </c>
      <c r="G165" s="2" t="s">
        <v>1996</v>
      </c>
      <c r="H165" s="20" t="s">
        <v>1997</v>
      </c>
      <c r="I165" s="2">
        <v>230</v>
      </c>
      <c r="J165" s="2"/>
      <c r="K165" s="5">
        <v>10</v>
      </c>
      <c r="L165" s="5">
        <v>20</v>
      </c>
      <c r="M165" s="2" t="s">
        <v>1943</v>
      </c>
      <c r="N165" s="95">
        <v>45326</v>
      </c>
      <c r="O165" s="2" t="s">
        <v>1998</v>
      </c>
      <c r="P165" s="2" t="s">
        <v>121</v>
      </c>
      <c r="Q165" s="95">
        <v>45294</v>
      </c>
      <c r="R165" s="18" t="s">
        <v>38</v>
      </c>
      <c r="S165" s="138">
        <v>45416</v>
      </c>
    </row>
    <row r="166" spans="1:19" x14ac:dyDescent="0.3">
      <c r="A166" s="81" t="s">
        <v>38</v>
      </c>
      <c r="B166" s="36" t="s">
        <v>510</v>
      </c>
      <c r="C166" s="2" t="s">
        <v>1994</v>
      </c>
      <c r="D166" s="95">
        <v>45474</v>
      </c>
      <c r="E166" s="2" t="s">
        <v>1999</v>
      </c>
      <c r="F166" s="2" t="s">
        <v>1851</v>
      </c>
      <c r="G166" s="2" t="s">
        <v>2000</v>
      </c>
      <c r="H166" s="2" t="s">
        <v>2001</v>
      </c>
      <c r="I166" s="2">
        <v>230</v>
      </c>
      <c r="J166" s="2"/>
      <c r="K166" s="5">
        <v>10</v>
      </c>
      <c r="L166" s="5">
        <v>20</v>
      </c>
      <c r="M166" s="2" t="s">
        <v>1943</v>
      </c>
      <c r="N166" s="95">
        <v>45326</v>
      </c>
      <c r="O166" s="2" t="s">
        <v>1998</v>
      </c>
      <c r="P166" s="2" t="s">
        <v>121</v>
      </c>
      <c r="Q166" s="95">
        <v>45294</v>
      </c>
      <c r="R166" s="18" t="s">
        <v>38</v>
      </c>
      <c r="S166" s="138">
        <v>45447</v>
      </c>
    </row>
    <row r="167" spans="1:19" ht="57.6" x14ac:dyDescent="0.3">
      <c r="A167" s="81" t="s">
        <v>49</v>
      </c>
      <c r="B167" s="356" t="s">
        <v>2002</v>
      </c>
      <c r="C167" s="219" t="s">
        <v>2003</v>
      </c>
      <c r="D167" s="219" t="s">
        <v>2004</v>
      </c>
      <c r="E167" s="396" t="s">
        <v>2005</v>
      </c>
      <c r="F167" s="112">
        <v>45293</v>
      </c>
      <c r="G167" s="2" t="s">
        <v>1296</v>
      </c>
      <c r="H167" s="249" t="s">
        <v>2006</v>
      </c>
      <c r="I167" s="250">
        <v>60</v>
      </c>
      <c r="J167" s="2"/>
      <c r="K167" s="2"/>
      <c r="L167" s="2"/>
      <c r="M167" s="112">
        <v>45323</v>
      </c>
      <c r="N167" s="112">
        <v>45352</v>
      </c>
      <c r="O167" s="2"/>
      <c r="P167" s="266" t="s">
        <v>2007</v>
      </c>
      <c r="Q167" s="2" t="s">
        <v>2008</v>
      </c>
      <c r="R167" s="315" t="s">
        <v>2009</v>
      </c>
      <c r="S167" s="314" t="s">
        <v>2010</v>
      </c>
    </row>
    <row r="168" spans="1:19" ht="43.2" x14ac:dyDescent="0.3">
      <c r="A168" s="81" t="s">
        <v>38</v>
      </c>
      <c r="B168" s="36" t="s">
        <v>1352</v>
      </c>
      <c r="C168" s="27" t="s">
        <v>2011</v>
      </c>
      <c r="D168" s="406">
        <v>45536</v>
      </c>
      <c r="E168" s="27" t="s">
        <v>2012</v>
      </c>
      <c r="F168" s="27" t="s">
        <v>1856</v>
      </c>
      <c r="G168" s="27" t="s">
        <v>1355</v>
      </c>
      <c r="H168" s="27" t="s">
        <v>2001</v>
      </c>
      <c r="I168" s="27">
        <v>470</v>
      </c>
      <c r="J168" s="27"/>
      <c r="K168" s="332">
        <v>20</v>
      </c>
      <c r="L168" s="332">
        <v>20</v>
      </c>
      <c r="M168" s="406" t="s">
        <v>1943</v>
      </c>
      <c r="N168" s="406">
        <v>45326</v>
      </c>
      <c r="O168" s="27" t="s">
        <v>1998</v>
      </c>
      <c r="P168" s="27" t="s">
        <v>28</v>
      </c>
      <c r="Q168" s="27" t="s">
        <v>1943</v>
      </c>
      <c r="R168" s="343" t="s">
        <v>2013</v>
      </c>
      <c r="S168" s="398" t="s">
        <v>2014</v>
      </c>
    </row>
    <row r="169" spans="1:19" x14ac:dyDescent="0.3">
      <c r="A169" s="81" t="s">
        <v>55</v>
      </c>
      <c r="B169" s="27" t="s">
        <v>2015</v>
      </c>
      <c r="C169" s="2" t="s">
        <v>2016</v>
      </c>
      <c r="D169" s="19" t="s">
        <v>1736</v>
      </c>
      <c r="E169" s="2" t="s">
        <v>2017</v>
      </c>
      <c r="F169" s="2" t="s">
        <v>1979</v>
      </c>
      <c r="G169" s="2" t="s">
        <v>1296</v>
      </c>
      <c r="H169" s="2" t="s">
        <v>2018</v>
      </c>
      <c r="I169" s="2">
        <v>1</v>
      </c>
      <c r="J169" s="2"/>
      <c r="K169" s="5">
        <v>1</v>
      </c>
      <c r="L169" s="2"/>
      <c r="M169" s="95">
        <v>45477</v>
      </c>
      <c r="N169" s="2"/>
      <c r="O169" s="2"/>
      <c r="P169" s="2" t="s">
        <v>121</v>
      </c>
      <c r="Q169" s="2"/>
      <c r="R169" s="74" t="s">
        <v>2019</v>
      </c>
      <c r="S169" s="137">
        <v>45600</v>
      </c>
    </row>
    <row r="170" spans="1:19" ht="43.2" x14ac:dyDescent="0.3">
      <c r="A170" s="81" t="s">
        <v>123</v>
      </c>
      <c r="B170" s="356" t="s">
        <v>2002</v>
      </c>
      <c r="C170" s="219" t="s">
        <v>2020</v>
      </c>
      <c r="D170" s="219" t="s">
        <v>2021</v>
      </c>
      <c r="E170" s="206">
        <v>23229930</v>
      </c>
      <c r="F170" s="112">
        <v>45416</v>
      </c>
      <c r="G170" s="2" t="s">
        <v>1296</v>
      </c>
      <c r="H170" s="249" t="s">
        <v>2022</v>
      </c>
      <c r="I170" s="250">
        <v>60</v>
      </c>
      <c r="J170" s="2"/>
      <c r="K170" s="2"/>
      <c r="L170" s="2"/>
      <c r="M170" s="112">
        <v>45539</v>
      </c>
      <c r="N170" s="2"/>
      <c r="O170" s="2"/>
      <c r="P170" s="2" t="s">
        <v>28</v>
      </c>
      <c r="Q170" s="2"/>
      <c r="R170" s="74" t="s">
        <v>123</v>
      </c>
      <c r="S170" s="137">
        <v>45630</v>
      </c>
    </row>
    <row r="171" spans="1:19" ht="43.2" x14ac:dyDescent="0.3">
      <c r="A171" s="81" t="s">
        <v>38</v>
      </c>
      <c r="B171" s="252" t="s">
        <v>895</v>
      </c>
      <c r="C171" s="2" t="s">
        <v>2023</v>
      </c>
      <c r="D171" s="252" t="s">
        <v>1944</v>
      </c>
      <c r="E171" s="2" t="s">
        <v>2024</v>
      </c>
      <c r="F171" s="345">
        <v>45355</v>
      </c>
      <c r="G171" s="252" t="s">
        <v>1296</v>
      </c>
      <c r="H171" s="252" t="s">
        <v>2025</v>
      </c>
      <c r="I171" s="252">
        <v>9</v>
      </c>
      <c r="J171" s="252"/>
      <c r="K171" s="283">
        <v>1</v>
      </c>
      <c r="L171" s="283"/>
      <c r="M171" s="287">
        <v>45508</v>
      </c>
      <c r="N171" s="252"/>
      <c r="O171" s="252"/>
      <c r="P171" s="252" t="s">
        <v>28</v>
      </c>
      <c r="Q171" s="252"/>
      <c r="R171" s="74" t="s">
        <v>38</v>
      </c>
      <c r="S171" t="s">
        <v>1998</v>
      </c>
    </row>
    <row r="172" spans="1:19" ht="43.2" x14ac:dyDescent="0.3">
      <c r="A172" s="81" t="s">
        <v>38</v>
      </c>
      <c r="B172" s="36" t="s">
        <v>1832</v>
      </c>
      <c r="C172" s="27" t="s">
        <v>2026</v>
      </c>
      <c r="D172" s="331" t="s">
        <v>1769</v>
      </c>
      <c r="E172" s="27" t="s">
        <v>2027</v>
      </c>
      <c r="F172" s="331" t="s">
        <v>1784</v>
      </c>
      <c r="G172" s="27" t="s">
        <v>1702</v>
      </c>
      <c r="H172" s="36" t="s">
        <v>1954</v>
      </c>
      <c r="I172" s="27">
        <v>491.97</v>
      </c>
      <c r="J172" s="27"/>
      <c r="K172" s="332">
        <v>20</v>
      </c>
      <c r="L172" s="332">
        <v>20</v>
      </c>
      <c r="M172" s="406" t="s">
        <v>1989</v>
      </c>
      <c r="N172" s="406">
        <v>45447</v>
      </c>
      <c r="O172" s="27" t="s">
        <v>2028</v>
      </c>
      <c r="P172" s="27" t="s">
        <v>28</v>
      </c>
      <c r="Q172" s="27" t="s">
        <v>1850</v>
      </c>
      <c r="R172" s="343" t="s">
        <v>2029</v>
      </c>
      <c r="S172" s="314" t="s">
        <v>2030</v>
      </c>
    </row>
    <row r="173" spans="1:19" x14ac:dyDescent="0.3">
      <c r="A173" s="81" t="s">
        <v>38</v>
      </c>
      <c r="B173" s="36" t="s">
        <v>2031</v>
      </c>
      <c r="C173" s="412" t="s">
        <v>2032</v>
      </c>
      <c r="D173" s="331" t="s">
        <v>1851</v>
      </c>
      <c r="E173" s="27" t="s">
        <v>2033</v>
      </c>
      <c r="F173" s="27" t="s">
        <v>1854</v>
      </c>
      <c r="G173" s="27" t="s">
        <v>1693</v>
      </c>
      <c r="H173" s="27" t="s">
        <v>1422</v>
      </c>
      <c r="I173" s="27">
        <v>239.86</v>
      </c>
      <c r="J173" s="27"/>
      <c r="K173" s="332">
        <v>10</v>
      </c>
      <c r="L173" s="332">
        <v>20</v>
      </c>
      <c r="M173" s="406">
        <v>45477</v>
      </c>
      <c r="N173" s="331" t="s">
        <v>2034</v>
      </c>
      <c r="O173" s="27" t="s">
        <v>2035</v>
      </c>
      <c r="P173" s="27" t="s">
        <v>121</v>
      </c>
      <c r="Q173" s="406">
        <v>45294</v>
      </c>
      <c r="R173" t="s">
        <v>38</v>
      </c>
      <c r="S173" t="s">
        <v>2028</v>
      </c>
    </row>
    <row r="174" spans="1:19" ht="28.8" x14ac:dyDescent="0.3">
      <c r="A174" s="81" t="s">
        <v>60</v>
      </c>
      <c r="B174" s="261" t="s">
        <v>2036</v>
      </c>
      <c r="C174" s="2" t="s">
        <v>2037</v>
      </c>
      <c r="D174" s="287">
        <v>45598</v>
      </c>
      <c r="E174" s="251">
        <v>236705530</v>
      </c>
      <c r="F174" s="345">
        <v>45538</v>
      </c>
      <c r="G174" s="252" t="s">
        <v>1232</v>
      </c>
      <c r="H174" s="252" t="s">
        <v>1234</v>
      </c>
      <c r="I174" s="252">
        <v>27</v>
      </c>
      <c r="J174" s="252"/>
      <c r="K174" s="283">
        <v>1</v>
      </c>
      <c r="L174" s="283">
        <v>40</v>
      </c>
      <c r="M174" s="95">
        <v>45539</v>
      </c>
      <c r="N174" s="2" t="s">
        <v>2028</v>
      </c>
      <c r="O174" s="286">
        <v>45356</v>
      </c>
      <c r="P174" s="252" t="s">
        <v>28</v>
      </c>
      <c r="Q174" s="252" t="s">
        <v>2038</v>
      </c>
      <c r="R174" s="282" t="s">
        <v>191</v>
      </c>
      <c r="S174" s="320" t="s">
        <v>2039</v>
      </c>
    </row>
    <row r="175" spans="1:19" ht="57.6" x14ac:dyDescent="0.3">
      <c r="A175" s="81" t="s">
        <v>55</v>
      </c>
      <c r="B175" s="36" t="s">
        <v>1832</v>
      </c>
      <c r="C175" s="27" t="s">
        <v>1952</v>
      </c>
      <c r="D175" s="406">
        <v>44997</v>
      </c>
      <c r="E175" s="27" t="s">
        <v>1953</v>
      </c>
      <c r="F175" s="406">
        <v>45181</v>
      </c>
      <c r="G175" s="27" t="s">
        <v>1702</v>
      </c>
      <c r="H175" s="27" t="s">
        <v>1954</v>
      </c>
      <c r="I175" s="27">
        <v>23.97</v>
      </c>
      <c r="J175" s="27"/>
      <c r="K175" s="332" t="s">
        <v>2040</v>
      </c>
      <c r="L175" s="332">
        <v>20</v>
      </c>
      <c r="M175" s="410" t="s">
        <v>2041</v>
      </c>
      <c r="N175" s="410" t="s">
        <v>2042</v>
      </c>
      <c r="O175" s="408">
        <v>45356</v>
      </c>
      <c r="P175" s="411" t="s">
        <v>2043</v>
      </c>
      <c r="Q175" s="27" t="s">
        <v>1850</v>
      </c>
      <c r="R175" s="343" t="s">
        <v>55</v>
      </c>
      <c r="S175" s="343" t="s">
        <v>2044</v>
      </c>
    </row>
    <row r="176" spans="1:19" x14ac:dyDescent="0.3">
      <c r="A176" s="81" t="s">
        <v>38</v>
      </c>
      <c r="B176" s="2" t="s">
        <v>1966</v>
      </c>
      <c r="C176" s="2" t="s">
        <v>2045</v>
      </c>
      <c r="D176" s="112">
        <v>45569</v>
      </c>
      <c r="E176" s="2" t="s">
        <v>2046</v>
      </c>
      <c r="F176" s="112">
        <v>45600</v>
      </c>
      <c r="G176" s="2" t="s">
        <v>1296</v>
      </c>
      <c r="H176" s="2" t="s">
        <v>2047</v>
      </c>
      <c r="I176" s="2">
        <v>5</v>
      </c>
      <c r="J176" s="2"/>
      <c r="K176" s="2"/>
      <c r="L176" s="2"/>
      <c r="M176" s="2" t="s">
        <v>2048</v>
      </c>
      <c r="N176" s="2"/>
      <c r="O176" s="2"/>
      <c r="P176" s="2" t="s">
        <v>28</v>
      </c>
      <c r="Q176" s="2" t="s">
        <v>2049</v>
      </c>
      <c r="R176" s="18" t="s">
        <v>38</v>
      </c>
      <c r="S176" s="18" t="s">
        <v>2044</v>
      </c>
    </row>
    <row r="177" spans="1:19" ht="28.8" x14ac:dyDescent="0.3">
      <c r="A177" s="81" t="s">
        <v>60</v>
      </c>
      <c r="B177" s="252" t="s">
        <v>895</v>
      </c>
      <c r="C177" s="2" t="s">
        <v>2023</v>
      </c>
      <c r="D177" s="252" t="s">
        <v>1944</v>
      </c>
      <c r="E177" s="19" t="s">
        <v>2050</v>
      </c>
      <c r="F177" s="287">
        <v>45355</v>
      </c>
      <c r="G177" s="252" t="s">
        <v>1296</v>
      </c>
      <c r="H177" s="252" t="s">
        <v>2051</v>
      </c>
      <c r="I177" s="252">
        <v>9</v>
      </c>
      <c r="J177" s="252"/>
      <c r="K177" s="283">
        <v>1</v>
      </c>
      <c r="L177" s="252"/>
      <c r="M177" s="252"/>
      <c r="N177" s="252"/>
      <c r="O177" s="252"/>
      <c r="P177" s="252" t="s">
        <v>121</v>
      </c>
      <c r="Q177" s="252" t="s">
        <v>2039</v>
      </c>
      <c r="R177" t="s">
        <v>191</v>
      </c>
      <c r="S177" s="303" t="s">
        <v>2052</v>
      </c>
    </row>
    <row r="178" spans="1:19" x14ac:dyDescent="0.3">
      <c r="A178" s="81" t="s">
        <v>60</v>
      </c>
      <c r="B178" s="19" t="s">
        <v>2053</v>
      </c>
      <c r="C178" s="334" t="s">
        <v>2054</v>
      </c>
      <c r="D178" s="287">
        <v>45295</v>
      </c>
      <c r="E178" s="252" t="s">
        <v>2055</v>
      </c>
      <c r="F178" s="251" t="s">
        <v>2056</v>
      </c>
      <c r="G178" s="252" t="s">
        <v>1296</v>
      </c>
      <c r="H178" s="2" t="s">
        <v>2057</v>
      </c>
      <c r="I178" s="44">
        <v>30</v>
      </c>
      <c r="J178" s="252"/>
      <c r="K178" s="283">
        <v>1</v>
      </c>
      <c r="L178" s="252"/>
      <c r="M178" s="252" t="s">
        <v>2058</v>
      </c>
      <c r="N178" s="252"/>
      <c r="O178" s="252"/>
      <c r="P178" s="252" t="s">
        <v>121</v>
      </c>
      <c r="Q178" s="252" t="s">
        <v>2039</v>
      </c>
      <c r="R178" s="328" t="s">
        <v>38</v>
      </c>
      <c r="S178" s="328" t="s">
        <v>2059</v>
      </c>
    </row>
    <row r="179" spans="1:19" x14ac:dyDescent="0.3">
      <c r="A179" s="81" t="s">
        <v>38</v>
      </c>
      <c r="B179" s="27" t="s">
        <v>2060</v>
      </c>
      <c r="C179" s="27" t="s">
        <v>2061</v>
      </c>
      <c r="D179" s="27" t="s">
        <v>2062</v>
      </c>
      <c r="E179" s="331">
        <v>236705594</v>
      </c>
      <c r="F179" s="406">
        <v>45538</v>
      </c>
      <c r="G179" s="27" t="s">
        <v>1232</v>
      </c>
      <c r="H179" s="27" t="s">
        <v>1234</v>
      </c>
      <c r="I179" s="27">
        <v>27</v>
      </c>
      <c r="J179" s="27"/>
      <c r="K179" s="332">
        <v>1</v>
      </c>
      <c r="L179" s="332">
        <v>40</v>
      </c>
      <c r="M179" s="406">
        <v>45539</v>
      </c>
      <c r="N179" s="331" t="s">
        <v>2035</v>
      </c>
      <c r="O179" s="408">
        <v>45631</v>
      </c>
      <c r="P179" s="27" t="s">
        <v>28</v>
      </c>
      <c r="Q179" s="406">
        <v>45386</v>
      </c>
      <c r="R179" t="s">
        <v>38</v>
      </c>
      <c r="S179" s="137">
        <v>45327</v>
      </c>
    </row>
    <row r="180" spans="1:19" ht="28.8" x14ac:dyDescent="0.3">
      <c r="A180" s="81" t="s">
        <v>38</v>
      </c>
      <c r="B180" s="27" t="s">
        <v>2063</v>
      </c>
      <c r="C180" s="2" t="s">
        <v>2064</v>
      </c>
      <c r="D180" s="2" t="s">
        <v>1950</v>
      </c>
      <c r="E180" s="27" t="s">
        <v>2065</v>
      </c>
      <c r="F180" s="95">
        <v>45355</v>
      </c>
      <c r="G180" s="2" t="s">
        <v>1462</v>
      </c>
      <c r="H180" s="2" t="s">
        <v>977</v>
      </c>
      <c r="I180" s="2">
        <v>269.32</v>
      </c>
      <c r="J180" s="2"/>
      <c r="K180" s="5">
        <v>13</v>
      </c>
      <c r="L180" s="5">
        <v>20</v>
      </c>
      <c r="M180" s="2" t="s">
        <v>2066</v>
      </c>
      <c r="N180" s="95">
        <v>45356</v>
      </c>
      <c r="O180" s="2" t="s">
        <v>2067</v>
      </c>
      <c r="P180" s="2" t="s">
        <v>28</v>
      </c>
      <c r="Q180" s="2" t="s">
        <v>2059</v>
      </c>
      <c r="R180" s="343" t="s">
        <v>2068</v>
      </c>
      <c r="S180" s="398" t="s">
        <v>2069</v>
      </c>
    </row>
    <row r="181" spans="1:19" x14ac:dyDescent="0.3">
      <c r="A181" s="81" t="s">
        <v>123</v>
      </c>
      <c r="B181" s="2" t="s">
        <v>642</v>
      </c>
      <c r="C181" s="2" t="s">
        <v>2070</v>
      </c>
      <c r="D181" s="2" t="s">
        <v>2056</v>
      </c>
      <c r="E181" s="2" t="s">
        <v>2071</v>
      </c>
      <c r="F181" s="2" t="s">
        <v>2072</v>
      </c>
      <c r="G181" s="2" t="s">
        <v>1296</v>
      </c>
      <c r="H181" s="2" t="s">
        <v>2073</v>
      </c>
      <c r="I181" s="2">
        <v>30</v>
      </c>
      <c r="J181" s="2"/>
      <c r="K181" s="2">
        <v>1</v>
      </c>
      <c r="L181" s="2"/>
      <c r="M181" s="112">
        <v>45387</v>
      </c>
      <c r="N181" s="2"/>
      <c r="O181" s="2">
        <v>3</v>
      </c>
      <c r="P181" s="2" t="s">
        <v>28</v>
      </c>
      <c r="Q181" s="112">
        <v>45417</v>
      </c>
      <c r="R181" s="74" t="s">
        <v>123</v>
      </c>
      <c r="S181" s="137">
        <v>45448</v>
      </c>
    </row>
    <row r="182" spans="1:19" ht="57.6" x14ac:dyDescent="0.3">
      <c r="A182" s="81" t="s">
        <v>344</v>
      </c>
      <c r="B182" s="261" t="s">
        <v>2063</v>
      </c>
      <c r="C182" s="2" t="s">
        <v>2074</v>
      </c>
      <c r="D182" s="2" t="s">
        <v>1985</v>
      </c>
      <c r="E182" s="2" t="s">
        <v>2075</v>
      </c>
      <c r="F182" s="95">
        <v>45416</v>
      </c>
      <c r="G182" s="2" t="s">
        <v>1462</v>
      </c>
      <c r="H182" s="2" t="s">
        <v>715</v>
      </c>
      <c r="I182" s="2">
        <v>116.88</v>
      </c>
      <c r="J182" s="2"/>
      <c r="K182" s="5">
        <v>5</v>
      </c>
      <c r="L182" s="5">
        <v>20</v>
      </c>
      <c r="M182" s="95" t="s">
        <v>2076</v>
      </c>
      <c r="N182" s="95">
        <v>45356</v>
      </c>
      <c r="O182" s="2" t="s">
        <v>2067</v>
      </c>
      <c r="P182" s="2" t="s">
        <v>28</v>
      </c>
      <c r="Q182" s="252" t="s">
        <v>2035</v>
      </c>
      <c r="R182" s="282" t="s">
        <v>2077</v>
      </c>
      <c r="S182" s="320" t="s">
        <v>2078</v>
      </c>
    </row>
    <row r="183" spans="1:19" ht="28.8" x14ac:dyDescent="0.3">
      <c r="A183" s="81" t="s">
        <v>60</v>
      </c>
      <c r="B183" s="252" t="s">
        <v>1796</v>
      </c>
      <c r="C183" s="252" t="s">
        <v>2079</v>
      </c>
      <c r="D183" s="252"/>
      <c r="E183" s="252" t="s">
        <v>2080</v>
      </c>
      <c r="F183" s="287">
        <v>45296</v>
      </c>
      <c r="G183" s="252" t="s">
        <v>1296</v>
      </c>
      <c r="H183" s="252" t="s">
        <v>2081</v>
      </c>
      <c r="I183" s="252">
        <v>15</v>
      </c>
      <c r="J183" s="252"/>
      <c r="K183" s="283">
        <v>1</v>
      </c>
      <c r="L183" s="252"/>
      <c r="M183" s="287">
        <v>45417</v>
      </c>
      <c r="N183" s="287">
        <v>45448</v>
      </c>
      <c r="O183" s="252"/>
      <c r="P183" s="252" t="s">
        <v>121</v>
      </c>
      <c r="Q183" s="286">
        <v>45417</v>
      </c>
      <c r="R183" t="s">
        <v>191</v>
      </c>
      <c r="S183" s="137">
        <v>45448</v>
      </c>
    </row>
    <row r="184" spans="1:19" x14ac:dyDescent="0.3">
      <c r="A184" s="81" t="s">
        <v>38</v>
      </c>
      <c r="B184" s="332" t="s">
        <v>2053</v>
      </c>
      <c r="C184" s="362" t="s">
        <v>2054</v>
      </c>
      <c r="D184" s="287">
        <v>45295</v>
      </c>
      <c r="E184" s="252" t="s">
        <v>2082</v>
      </c>
      <c r="F184" s="287">
        <v>45356</v>
      </c>
      <c r="G184" s="252" t="s">
        <v>1296</v>
      </c>
      <c r="H184" s="2" t="s">
        <v>2057</v>
      </c>
      <c r="I184" s="44">
        <v>30</v>
      </c>
      <c r="J184" s="252"/>
      <c r="K184" s="283">
        <v>1</v>
      </c>
      <c r="L184" s="252"/>
      <c r="M184" s="287">
        <v>45540</v>
      </c>
      <c r="N184" s="287">
        <v>45570</v>
      </c>
      <c r="O184" s="252"/>
      <c r="P184" s="252" t="s">
        <v>28</v>
      </c>
      <c r="Q184" s="252"/>
      <c r="R184" t="s">
        <v>38</v>
      </c>
      <c r="S184" s="137">
        <v>45570</v>
      </c>
    </row>
    <row r="185" spans="1:19" x14ac:dyDescent="0.3">
      <c r="A185" s="81" t="s">
        <v>38</v>
      </c>
      <c r="B185" s="27" t="s">
        <v>2083</v>
      </c>
      <c r="C185" s="27" t="s">
        <v>2084</v>
      </c>
      <c r="D185" s="27" t="s">
        <v>2085</v>
      </c>
      <c r="E185" s="331">
        <v>237312005</v>
      </c>
      <c r="F185" s="27" t="s">
        <v>1944</v>
      </c>
      <c r="G185" s="27" t="s">
        <v>1232</v>
      </c>
      <c r="H185" s="27" t="s">
        <v>2086</v>
      </c>
      <c r="I185" s="27">
        <v>1</v>
      </c>
      <c r="J185" s="27"/>
      <c r="K185" s="332">
        <v>3</v>
      </c>
      <c r="L185" s="332">
        <v>40</v>
      </c>
      <c r="M185" s="331" t="s">
        <v>2044</v>
      </c>
      <c r="N185" s="406">
        <v>45631</v>
      </c>
      <c r="O185" s="27" t="s">
        <v>2087</v>
      </c>
      <c r="P185" s="27" t="s">
        <v>121</v>
      </c>
      <c r="Q185" s="408">
        <v>45327</v>
      </c>
      <c r="R185" t="s">
        <v>38</v>
      </c>
      <c r="S185" t="s">
        <v>2088</v>
      </c>
    </row>
    <row r="186" spans="1:19" ht="28.8" x14ac:dyDescent="0.3">
      <c r="A186" s="81" t="s">
        <v>60</v>
      </c>
      <c r="B186" s="261" t="s">
        <v>2036</v>
      </c>
      <c r="C186" s="2" t="s">
        <v>2089</v>
      </c>
      <c r="D186" s="287">
        <v>45597</v>
      </c>
      <c r="E186" s="2" t="s">
        <v>2090</v>
      </c>
      <c r="F186" s="251" t="s">
        <v>1901</v>
      </c>
      <c r="G186" s="252" t="s">
        <v>1232</v>
      </c>
      <c r="H186" s="252" t="s">
        <v>102</v>
      </c>
      <c r="I186" s="252">
        <v>27</v>
      </c>
      <c r="J186" s="252"/>
      <c r="K186" s="283">
        <v>1</v>
      </c>
      <c r="L186" s="283">
        <v>40</v>
      </c>
      <c r="M186" s="251" t="s">
        <v>2066</v>
      </c>
      <c r="N186" s="287">
        <v>45478</v>
      </c>
      <c r="O186" s="252" t="s">
        <v>2091</v>
      </c>
      <c r="P186" s="252" t="s">
        <v>121</v>
      </c>
      <c r="Q186" s="286">
        <v>45327</v>
      </c>
      <c r="R186" s="399" t="s">
        <v>38</v>
      </c>
      <c r="S186" s="282" t="s">
        <v>2088</v>
      </c>
    </row>
    <row r="187" spans="1:19" ht="28.8" x14ac:dyDescent="0.3">
      <c r="A187" s="81" t="s">
        <v>38</v>
      </c>
      <c r="B187" s="27" t="s">
        <v>2063</v>
      </c>
      <c r="C187" s="36" t="s">
        <v>2092</v>
      </c>
      <c r="D187" s="331" t="s">
        <v>1950</v>
      </c>
      <c r="E187" s="409" t="s">
        <v>2093</v>
      </c>
      <c r="F187" s="406">
        <v>45355</v>
      </c>
      <c r="G187" s="27" t="s">
        <v>1462</v>
      </c>
      <c r="H187" s="27" t="s">
        <v>2094</v>
      </c>
      <c r="I187" s="27">
        <v>245.9</v>
      </c>
      <c r="J187" s="27"/>
      <c r="K187" s="332">
        <v>12</v>
      </c>
      <c r="L187" s="332">
        <v>20</v>
      </c>
      <c r="M187" s="406" t="s">
        <v>2072</v>
      </c>
      <c r="N187" s="406" t="s">
        <v>2095</v>
      </c>
      <c r="O187" s="27" t="s">
        <v>2096</v>
      </c>
      <c r="P187" s="27" t="s">
        <v>28</v>
      </c>
      <c r="Q187" s="27" t="s">
        <v>2059</v>
      </c>
      <c r="R187" s="343" t="s">
        <v>2097</v>
      </c>
      <c r="S187" s="343" t="s">
        <v>2098</v>
      </c>
    </row>
    <row r="188" spans="1:19" x14ac:dyDescent="0.3">
      <c r="B188" s="252" t="s">
        <v>2099</v>
      </c>
      <c r="C188" s="6" t="s">
        <v>2100</v>
      </c>
      <c r="D188" s="252"/>
      <c r="E188" s="400" t="s">
        <v>2101</v>
      </c>
      <c r="F188" s="287">
        <v>45508</v>
      </c>
      <c r="G188" s="252" t="s">
        <v>1261</v>
      </c>
      <c r="H188" s="252" t="s">
        <v>2102</v>
      </c>
      <c r="I188" s="252">
        <v>104</v>
      </c>
      <c r="J188" s="252"/>
      <c r="K188" s="283">
        <v>4</v>
      </c>
      <c r="L188" s="283">
        <v>20</v>
      </c>
      <c r="M188" s="287" t="s">
        <v>2103</v>
      </c>
      <c r="N188" s="286" t="s">
        <v>2104</v>
      </c>
      <c r="O188" s="252">
        <v>14</v>
      </c>
      <c r="P188" s="252" t="s">
        <v>212</v>
      </c>
      <c r="Q188" s="403" t="s">
        <v>2105</v>
      </c>
    </row>
    <row r="189" spans="1:19" x14ac:dyDescent="0.3">
      <c r="A189" t="s">
        <v>60</v>
      </c>
      <c r="B189" s="261" t="s">
        <v>989</v>
      </c>
      <c r="C189" s="252" t="s">
        <v>2106</v>
      </c>
      <c r="D189" s="252" t="s">
        <v>1944</v>
      </c>
      <c r="E189" s="252" t="s">
        <v>2107</v>
      </c>
      <c r="F189" s="251" t="s">
        <v>2059</v>
      </c>
      <c r="G189" s="252" t="s">
        <v>1318</v>
      </c>
      <c r="H189" s="252" t="s">
        <v>152</v>
      </c>
      <c r="I189" s="252">
        <v>20</v>
      </c>
      <c r="J189" s="252"/>
      <c r="K189" s="283">
        <v>1</v>
      </c>
      <c r="L189" s="283">
        <v>20</v>
      </c>
      <c r="M189" s="287">
        <v>45417</v>
      </c>
      <c r="N189" s="251" t="s">
        <v>2088</v>
      </c>
      <c r="O189" s="252" t="s">
        <v>2108</v>
      </c>
      <c r="P189" s="252" t="s">
        <v>28</v>
      </c>
      <c r="Q189" s="252" t="s">
        <v>2088</v>
      </c>
      <c r="R189" s="328" t="s">
        <v>191</v>
      </c>
      <c r="S189" s="328" t="s">
        <v>2109</v>
      </c>
    </row>
    <row r="190" spans="1:19" x14ac:dyDescent="0.3">
      <c r="A190" t="s">
        <v>60</v>
      </c>
      <c r="B190" s="261" t="s">
        <v>485</v>
      </c>
      <c r="C190" s="252" t="s">
        <v>2110</v>
      </c>
      <c r="D190" s="252" t="s">
        <v>2072</v>
      </c>
      <c r="E190" s="251">
        <v>202013302</v>
      </c>
      <c r="F190" s="287" t="s">
        <v>2111</v>
      </c>
      <c r="G190" s="252" t="s">
        <v>1296</v>
      </c>
      <c r="H190" s="252" t="s">
        <v>205</v>
      </c>
      <c r="I190" s="252">
        <v>30</v>
      </c>
      <c r="J190" s="252"/>
      <c r="K190" s="283">
        <v>1</v>
      </c>
      <c r="L190" s="252"/>
      <c r="M190" s="252" t="s">
        <v>2112</v>
      </c>
      <c r="N190" s="252" t="s">
        <v>2091</v>
      </c>
      <c r="O190" s="252"/>
      <c r="P190" s="252" t="s">
        <v>28</v>
      </c>
      <c r="Q190" s="252" t="s">
        <v>2091</v>
      </c>
      <c r="R190" s="328" t="s">
        <v>38</v>
      </c>
      <c r="S190" s="328" t="s">
        <v>2109</v>
      </c>
    </row>
    <row r="191" spans="1:19" x14ac:dyDescent="0.3">
      <c r="A191" t="s">
        <v>38</v>
      </c>
      <c r="B191" s="27" t="s">
        <v>989</v>
      </c>
      <c r="C191" s="405" t="s">
        <v>2113</v>
      </c>
      <c r="D191" s="27" t="s">
        <v>1944</v>
      </c>
      <c r="E191" s="405" t="s">
        <v>2114</v>
      </c>
      <c r="F191" s="27" t="s">
        <v>2028</v>
      </c>
      <c r="G191" s="27" t="s">
        <v>1318</v>
      </c>
      <c r="H191" s="27" t="s">
        <v>152</v>
      </c>
      <c r="I191" s="27">
        <v>20</v>
      </c>
      <c r="J191" s="27"/>
      <c r="K191" s="332">
        <v>1</v>
      </c>
      <c r="L191" s="332">
        <v>20</v>
      </c>
      <c r="M191" s="27" t="s">
        <v>2072</v>
      </c>
      <c r="N191" s="406">
        <v>45540</v>
      </c>
      <c r="O191" s="407" t="s">
        <v>2115</v>
      </c>
      <c r="P191" s="27" t="s">
        <v>28</v>
      </c>
      <c r="Q191" s="27"/>
      <c r="R191" s="18" t="s">
        <v>38</v>
      </c>
      <c r="S191" s="137" t="s">
        <v>2109</v>
      </c>
    </row>
    <row r="192" spans="1:19" ht="28.8" x14ac:dyDescent="0.3">
      <c r="A192" t="s">
        <v>55</v>
      </c>
      <c r="B192" s="36" t="s">
        <v>1744</v>
      </c>
      <c r="C192" s="27" t="s">
        <v>2116</v>
      </c>
      <c r="D192" s="27" t="s">
        <v>1852</v>
      </c>
      <c r="E192" s="27" t="s">
        <v>2117</v>
      </c>
      <c r="F192" s="27" t="s">
        <v>1969</v>
      </c>
      <c r="G192" s="27" t="s">
        <v>1462</v>
      </c>
      <c r="H192" s="27" t="s">
        <v>977</v>
      </c>
      <c r="I192" s="27">
        <v>265.07</v>
      </c>
      <c r="J192" s="27"/>
      <c r="K192" s="332">
        <v>12</v>
      </c>
      <c r="L192" s="332">
        <v>20</v>
      </c>
      <c r="M192" s="406" t="s">
        <v>2095</v>
      </c>
      <c r="N192" s="406" t="s">
        <v>2109</v>
      </c>
      <c r="O192" s="408">
        <v>45357</v>
      </c>
      <c r="P192" s="27" t="s">
        <v>28</v>
      </c>
      <c r="Q192" s="406">
        <v>45326</v>
      </c>
      <c r="R192" s="343" t="s">
        <v>2118</v>
      </c>
      <c r="S192" s="343" t="s">
        <v>2119</v>
      </c>
    </row>
    <row r="193" spans="1:21" x14ac:dyDescent="0.3">
      <c r="A193" t="s">
        <v>38</v>
      </c>
      <c r="B193" s="27" t="s">
        <v>2120</v>
      </c>
      <c r="C193" s="2" t="s">
        <v>2121</v>
      </c>
      <c r="D193" s="19" t="s">
        <v>1859</v>
      </c>
      <c r="E193" s="6" t="s">
        <v>2122</v>
      </c>
      <c r="F193" s="6" t="s">
        <v>2123</v>
      </c>
      <c r="G193" s="2" t="s">
        <v>2124</v>
      </c>
      <c r="H193" s="2" t="s">
        <v>1859</v>
      </c>
      <c r="I193" s="2" t="s">
        <v>1421</v>
      </c>
      <c r="J193" s="2" t="s">
        <v>2125</v>
      </c>
      <c r="K193" s="2">
        <v>168.4</v>
      </c>
      <c r="L193" s="2"/>
      <c r="M193" s="5">
        <v>8</v>
      </c>
      <c r="N193" s="5">
        <v>20</v>
      </c>
      <c r="O193" s="95">
        <v>45601</v>
      </c>
      <c r="P193" s="95" t="s">
        <v>2126</v>
      </c>
      <c r="Q193" s="112">
        <v>45418</v>
      </c>
      <c r="R193" s="2" t="s">
        <v>28</v>
      </c>
      <c r="S193" s="2" t="s">
        <v>1922</v>
      </c>
      <c r="T193" s="18" t="s">
        <v>191</v>
      </c>
      <c r="U193" s="18" t="s">
        <v>2115</v>
      </c>
    </row>
    <row r="194" spans="1:21" x14ac:dyDescent="0.3">
      <c r="A194" t="s">
        <v>55</v>
      </c>
      <c r="B194" s="27" t="s">
        <v>2063</v>
      </c>
      <c r="C194" s="2" t="s">
        <v>2127</v>
      </c>
      <c r="D194" s="2" t="s">
        <v>1969</v>
      </c>
      <c r="E194" s="6" t="s">
        <v>2128</v>
      </c>
      <c r="F194" s="6" t="s">
        <v>1462</v>
      </c>
      <c r="G194" s="25" t="s">
        <v>2129</v>
      </c>
      <c r="H194" s="95">
        <v>45600</v>
      </c>
      <c r="I194" s="2" t="s">
        <v>1462</v>
      </c>
      <c r="J194" s="2" t="s">
        <v>977</v>
      </c>
      <c r="K194" s="2">
        <v>205.95</v>
      </c>
      <c r="L194" s="2"/>
      <c r="M194" s="5">
        <v>10</v>
      </c>
      <c r="N194" s="5">
        <v>20</v>
      </c>
      <c r="O194" s="95" t="s">
        <v>2067</v>
      </c>
      <c r="P194" s="95" t="s">
        <v>2130</v>
      </c>
      <c r="Q194" s="112">
        <v>45510</v>
      </c>
      <c r="R194" s="2" t="s">
        <v>28</v>
      </c>
      <c r="S194" s="95">
        <v>45356</v>
      </c>
      <c r="T194" t="s">
        <v>2131</v>
      </c>
      <c r="U194" t="s">
        <v>2132</v>
      </c>
    </row>
    <row r="195" spans="1:21" ht="86.4" x14ac:dyDescent="0.3">
      <c r="A195" t="s">
        <v>38</v>
      </c>
      <c r="B195" s="27" t="s">
        <v>2133</v>
      </c>
      <c r="C195" s="2" t="s">
        <v>2134</v>
      </c>
      <c r="D195" s="95">
        <v>45294</v>
      </c>
      <c r="E195" s="6">
        <v>120331</v>
      </c>
      <c r="F195" s="6" t="s">
        <v>1904</v>
      </c>
      <c r="G195" s="19">
        <v>236520357</v>
      </c>
      <c r="H195" s="95">
        <v>45416</v>
      </c>
      <c r="I195" s="2" t="s">
        <v>1904</v>
      </c>
      <c r="J195" s="2" t="s">
        <v>2135</v>
      </c>
      <c r="K195" s="2">
        <v>499.45699999999999</v>
      </c>
      <c r="L195" s="2"/>
      <c r="M195" s="5" t="s">
        <v>2136</v>
      </c>
      <c r="N195" s="5">
        <v>20</v>
      </c>
      <c r="O195" s="2" t="s">
        <v>2109</v>
      </c>
      <c r="P195" s="95">
        <v>45328</v>
      </c>
      <c r="Q195" s="2" t="s">
        <v>2104</v>
      </c>
      <c r="R195" s="266" t="s">
        <v>2137</v>
      </c>
      <c r="S195" s="95">
        <v>45327</v>
      </c>
      <c r="T195" s="315" t="s">
        <v>2138</v>
      </c>
      <c r="U195" s="314" t="s">
        <v>2139</v>
      </c>
    </row>
    <row r="196" spans="1:21" x14ac:dyDescent="0.3">
      <c r="A196" t="s">
        <v>38</v>
      </c>
      <c r="B196" s="27" t="s">
        <v>2140</v>
      </c>
      <c r="C196" s="2" t="s">
        <v>2141</v>
      </c>
      <c r="D196" s="2" t="s">
        <v>1912</v>
      </c>
      <c r="E196" s="2"/>
      <c r="F196" s="2" t="s">
        <v>1296</v>
      </c>
      <c r="G196" s="19" t="s">
        <v>2142</v>
      </c>
      <c r="H196" s="95">
        <v>45570</v>
      </c>
      <c r="I196" s="2" t="s">
        <v>1296</v>
      </c>
      <c r="J196" s="2" t="s">
        <v>2143</v>
      </c>
      <c r="K196" s="2">
        <v>1</v>
      </c>
      <c r="L196" s="2"/>
      <c r="M196" s="5">
        <v>1</v>
      </c>
      <c r="N196" s="2"/>
      <c r="O196" s="2" t="s">
        <v>2112</v>
      </c>
      <c r="P196" s="2" t="s">
        <v>2144</v>
      </c>
      <c r="Q196" s="2"/>
      <c r="R196" s="2" t="s">
        <v>28</v>
      </c>
      <c r="S196" s="2"/>
      <c r="T196" s="18" t="s">
        <v>38</v>
      </c>
      <c r="U196" s="18" t="s">
        <v>2145</v>
      </c>
    </row>
    <row r="197" spans="1:21" x14ac:dyDescent="0.3">
      <c r="A197" t="s">
        <v>38</v>
      </c>
      <c r="B197" s="27" t="s">
        <v>2146</v>
      </c>
      <c r="C197" s="2" t="s">
        <v>2147</v>
      </c>
      <c r="D197" s="95">
        <v>45539</v>
      </c>
      <c r="E197" s="189" t="s">
        <v>2148</v>
      </c>
      <c r="F197" s="189" t="s">
        <v>1232</v>
      </c>
      <c r="G197" s="4">
        <v>238315985</v>
      </c>
      <c r="H197" s="95">
        <v>45540</v>
      </c>
      <c r="I197" s="2" t="s">
        <v>1232</v>
      </c>
      <c r="J197" s="2" t="s">
        <v>2149</v>
      </c>
      <c r="K197" s="2">
        <v>27</v>
      </c>
      <c r="L197" s="2"/>
      <c r="M197" s="5">
        <v>1</v>
      </c>
      <c r="N197" s="5">
        <v>40</v>
      </c>
      <c r="O197" s="19" t="s">
        <v>2144</v>
      </c>
      <c r="P197" s="95">
        <v>45510</v>
      </c>
      <c r="Q197" s="2" t="s">
        <v>2150</v>
      </c>
      <c r="R197" s="2" t="s">
        <v>121</v>
      </c>
      <c r="S197" s="2" t="s">
        <v>2132</v>
      </c>
      <c r="T197" s="18" t="s">
        <v>38</v>
      </c>
      <c r="U197" s="137" t="s">
        <v>2151</v>
      </c>
    </row>
    <row r="198" spans="1:21" x14ac:dyDescent="0.3">
      <c r="A198" t="s">
        <v>38</v>
      </c>
      <c r="B198" s="27" t="s">
        <v>989</v>
      </c>
      <c r="C198" s="51" t="s">
        <v>2152</v>
      </c>
      <c r="D198" s="2" t="s">
        <v>1980</v>
      </c>
      <c r="E198" s="189">
        <v>6001421251</v>
      </c>
      <c r="F198" s="189" t="s">
        <v>2153</v>
      </c>
      <c r="G198" s="2" t="s">
        <v>2154</v>
      </c>
      <c r="H198" s="2" t="s">
        <v>2088</v>
      </c>
      <c r="I198" s="2" t="s">
        <v>1318</v>
      </c>
      <c r="J198" s="2" t="s">
        <v>152</v>
      </c>
      <c r="K198" s="2">
        <v>20</v>
      </c>
      <c r="L198" s="2"/>
      <c r="M198" s="5">
        <v>1</v>
      </c>
      <c r="N198" s="5">
        <v>20</v>
      </c>
      <c r="O198" s="2" t="s">
        <v>2091</v>
      </c>
      <c r="P198" s="95">
        <v>45632</v>
      </c>
      <c r="Q198" s="2" t="s">
        <v>2155</v>
      </c>
      <c r="R198" s="2" t="s">
        <v>28</v>
      </c>
      <c r="S198" s="2" t="s">
        <v>2132</v>
      </c>
      <c r="T198" s="74" t="s">
        <v>38</v>
      </c>
      <c r="U198" s="74" t="s">
        <v>2151</v>
      </c>
    </row>
    <row r="199" spans="1:21" x14ac:dyDescent="0.3">
      <c r="B199" s="20" t="s">
        <v>2156</v>
      </c>
      <c r="C199" s="6" t="s">
        <v>2157</v>
      </c>
      <c r="D199" s="2"/>
      <c r="E199" s="6" t="s">
        <v>2158</v>
      </c>
      <c r="F199" s="6"/>
      <c r="G199" s="402" t="s">
        <v>2159</v>
      </c>
      <c r="H199" s="95">
        <v>45478</v>
      </c>
      <c r="I199" s="2"/>
      <c r="J199" s="7" t="s">
        <v>1422</v>
      </c>
      <c r="K199" s="20">
        <v>500</v>
      </c>
      <c r="L199" s="2"/>
      <c r="M199" s="5" t="s">
        <v>2160</v>
      </c>
      <c r="N199" s="2"/>
      <c r="O199" s="2"/>
      <c r="P199" s="2"/>
      <c r="Q199" s="2"/>
      <c r="R199" s="2" t="s">
        <v>212</v>
      </c>
      <c r="S199" s="2"/>
    </row>
    <row r="200" spans="1:21" x14ac:dyDescent="0.3">
      <c r="A200" t="s">
        <v>60</v>
      </c>
      <c r="B200" s="261" t="s">
        <v>485</v>
      </c>
      <c r="C200" s="252" t="s">
        <v>2110</v>
      </c>
      <c r="D200" s="252" t="s">
        <v>2072</v>
      </c>
      <c r="E200" s="251" t="s">
        <v>2161</v>
      </c>
      <c r="F200" s="287">
        <v>45297</v>
      </c>
      <c r="G200" s="252" t="s">
        <v>1296</v>
      </c>
      <c r="H200" s="252" t="s">
        <v>205</v>
      </c>
      <c r="I200" s="252">
        <v>60</v>
      </c>
      <c r="J200" s="252"/>
      <c r="K200" s="283">
        <v>2</v>
      </c>
      <c r="L200" s="252"/>
      <c r="M200" s="287">
        <v>45388</v>
      </c>
      <c r="N200" s="287">
        <v>45418</v>
      </c>
      <c r="O200" s="252"/>
      <c r="P200" s="252" t="s">
        <v>121</v>
      </c>
      <c r="Q200" s="252" t="s">
        <v>2104</v>
      </c>
      <c r="T200" t="s">
        <v>191</v>
      </c>
      <c r="U200" t="s">
        <v>2162</v>
      </c>
    </row>
    <row r="201" spans="1:21" ht="86.4" x14ac:dyDescent="0.3">
      <c r="A201" t="s">
        <v>38</v>
      </c>
      <c r="B201" s="27" t="s">
        <v>2133</v>
      </c>
      <c r="C201" s="2" t="s">
        <v>2134</v>
      </c>
      <c r="D201" s="95">
        <v>45294</v>
      </c>
      <c r="E201" s="6">
        <v>120331</v>
      </c>
      <c r="F201" s="6" t="s">
        <v>1904</v>
      </c>
      <c r="G201" s="19">
        <v>236520357</v>
      </c>
      <c r="H201" s="95">
        <v>45416</v>
      </c>
      <c r="I201" s="2" t="s">
        <v>1904</v>
      </c>
      <c r="J201" s="2" t="s">
        <v>2135</v>
      </c>
      <c r="K201" s="2">
        <v>499.45699999999999</v>
      </c>
      <c r="L201" s="2"/>
      <c r="M201" s="5">
        <v>3</v>
      </c>
      <c r="N201" s="5">
        <v>20</v>
      </c>
      <c r="O201" s="2" t="s">
        <v>2109</v>
      </c>
      <c r="P201" s="95" t="s">
        <v>2162</v>
      </c>
      <c r="Q201" s="112">
        <v>45329</v>
      </c>
      <c r="R201" s="266" t="s">
        <v>2137</v>
      </c>
      <c r="S201" s="95">
        <v>45327</v>
      </c>
      <c r="T201" t="s">
        <v>2163</v>
      </c>
      <c r="U201" s="137" t="s">
        <v>2150</v>
      </c>
    </row>
    <row r="202" spans="1:21" x14ac:dyDescent="0.3">
      <c r="A202" t="s">
        <v>38</v>
      </c>
      <c r="B202" s="27" t="s">
        <v>2164</v>
      </c>
      <c r="C202" s="6" t="s">
        <v>2165</v>
      </c>
      <c r="D202" s="2" t="s">
        <v>2115</v>
      </c>
      <c r="E202" s="19"/>
      <c r="F202" s="2"/>
      <c r="G202" s="2" t="s">
        <v>2166</v>
      </c>
      <c r="H202" s="112">
        <v>45479</v>
      </c>
      <c r="I202" s="2" t="s">
        <v>1296</v>
      </c>
      <c r="J202" s="2" t="s">
        <v>2167</v>
      </c>
      <c r="K202" s="2">
        <v>5</v>
      </c>
      <c r="L202" s="2"/>
      <c r="M202" s="2"/>
      <c r="N202" s="2"/>
      <c r="O202" s="2"/>
      <c r="P202" s="2" t="s">
        <v>2151</v>
      </c>
      <c r="Q202" s="2"/>
      <c r="R202" s="1" t="s">
        <v>2168</v>
      </c>
      <c r="S202" s="2" t="s">
        <v>2169</v>
      </c>
      <c r="T202" s="18" t="s">
        <v>38</v>
      </c>
      <c r="U202" s="18" t="s">
        <v>2170</v>
      </c>
    </row>
    <row r="203" spans="1:21" x14ac:dyDescent="0.3">
      <c r="A203" t="s">
        <v>38</v>
      </c>
      <c r="B203" s="27" t="s">
        <v>2171</v>
      </c>
      <c r="C203" s="6" t="s">
        <v>2172</v>
      </c>
      <c r="D203" s="2" t="s">
        <v>2072</v>
      </c>
      <c r="E203" s="19">
        <v>6</v>
      </c>
      <c r="F203" s="2" t="s">
        <v>1296</v>
      </c>
      <c r="G203" s="2" t="s">
        <v>2173</v>
      </c>
      <c r="H203" s="112">
        <v>45388</v>
      </c>
      <c r="I203" s="2" t="s">
        <v>1296</v>
      </c>
      <c r="J203" s="2" t="s">
        <v>2174</v>
      </c>
      <c r="K203" s="2">
        <v>1</v>
      </c>
      <c r="L203" s="2"/>
      <c r="M203" s="5">
        <v>1</v>
      </c>
      <c r="N203" s="5"/>
      <c r="O203" s="2" t="s">
        <v>2145</v>
      </c>
      <c r="P203" s="2" t="s">
        <v>2175</v>
      </c>
      <c r="Q203" s="2">
        <v>3</v>
      </c>
      <c r="R203" s="2" t="s">
        <v>212</v>
      </c>
      <c r="S203" s="2"/>
      <c r="T203" s="18" t="s">
        <v>123</v>
      </c>
      <c r="U203" s="18" t="s">
        <v>2150</v>
      </c>
    </row>
    <row r="204" spans="1:21" ht="28.8" x14ac:dyDescent="0.3">
      <c r="A204" t="s">
        <v>60</v>
      </c>
      <c r="B204" s="261" t="s">
        <v>2176</v>
      </c>
      <c r="C204" s="252" t="s">
        <v>2177</v>
      </c>
      <c r="D204" s="287">
        <v>45477</v>
      </c>
      <c r="E204" s="35">
        <v>238809071</v>
      </c>
      <c r="F204" s="287">
        <v>45540</v>
      </c>
      <c r="G204" s="252" t="s">
        <v>1232</v>
      </c>
      <c r="H204" s="252" t="s">
        <v>2178</v>
      </c>
      <c r="I204" s="252">
        <v>27</v>
      </c>
      <c r="J204" s="252"/>
      <c r="K204" s="283">
        <v>1</v>
      </c>
      <c r="L204" s="283">
        <v>20</v>
      </c>
      <c r="M204" s="252" t="s">
        <v>2144</v>
      </c>
      <c r="N204" s="287">
        <v>45571</v>
      </c>
      <c r="O204" s="252" t="s">
        <v>2179</v>
      </c>
      <c r="P204" s="252" t="s">
        <v>2180</v>
      </c>
      <c r="Q204" s="252" t="s">
        <v>2145</v>
      </c>
      <c r="R204" s="282" t="s">
        <v>191</v>
      </c>
      <c r="S204" s="282" t="s">
        <v>2150</v>
      </c>
    </row>
    <row r="205" spans="1:21" ht="28.8" x14ac:dyDescent="0.3">
      <c r="A205" t="s">
        <v>60</v>
      </c>
      <c r="B205" s="418" t="s">
        <v>989</v>
      </c>
      <c r="C205" s="375" t="s">
        <v>2181</v>
      </c>
      <c r="D205" s="375" t="s">
        <v>2039</v>
      </c>
      <c r="E205" t="s">
        <v>2182</v>
      </c>
      <c r="F205" s="375" t="s">
        <v>2088</v>
      </c>
      <c r="G205" s="375" t="s">
        <v>1318</v>
      </c>
      <c r="H205" s="375" t="s">
        <v>152</v>
      </c>
      <c r="I205" s="375">
        <v>20</v>
      </c>
      <c r="J205" s="375"/>
      <c r="K205" s="404">
        <v>1</v>
      </c>
      <c r="L205" s="404">
        <v>20</v>
      </c>
      <c r="M205" s="394">
        <v>45510</v>
      </c>
      <c r="N205" s="394">
        <v>45632</v>
      </c>
      <c r="O205" s="375" t="s">
        <v>2155</v>
      </c>
      <c r="P205" s="375" t="s">
        <v>2180</v>
      </c>
      <c r="Q205" s="375" t="s">
        <v>2145</v>
      </c>
      <c r="R205" s="282" t="s">
        <v>191</v>
      </c>
      <c r="S205" s="282" t="s">
        <v>2150</v>
      </c>
    </row>
    <row r="206" spans="1:21" x14ac:dyDescent="0.3">
      <c r="A206" t="s">
        <v>344</v>
      </c>
      <c r="B206" s="261" t="s">
        <v>989</v>
      </c>
      <c r="C206" s="252" t="s">
        <v>2183</v>
      </c>
      <c r="D206" s="252" t="s">
        <v>2039</v>
      </c>
      <c r="E206" s="2" t="s">
        <v>2184</v>
      </c>
      <c r="F206" s="287">
        <v>45418</v>
      </c>
      <c r="G206" s="252" t="s">
        <v>1318</v>
      </c>
      <c r="H206" s="252" t="s">
        <v>152</v>
      </c>
      <c r="I206" s="252">
        <v>20</v>
      </c>
      <c r="J206" s="252"/>
      <c r="K206" s="283">
        <v>1</v>
      </c>
      <c r="L206" s="283">
        <v>20</v>
      </c>
      <c r="M206" s="287">
        <v>45571</v>
      </c>
      <c r="N206" s="287" t="s">
        <v>2170</v>
      </c>
      <c r="O206" s="286">
        <v>45329</v>
      </c>
      <c r="P206" s="252" t="s">
        <v>28</v>
      </c>
      <c r="Q206" s="252" t="s">
        <v>2179</v>
      </c>
      <c r="R206" s="282" t="s">
        <v>350</v>
      </c>
      <c r="S206" s="282" t="s">
        <v>2185</v>
      </c>
    </row>
    <row r="207" spans="1:21" x14ac:dyDescent="0.3">
      <c r="A207" t="s">
        <v>38</v>
      </c>
      <c r="B207" s="36" t="s">
        <v>2186</v>
      </c>
      <c r="C207" s="6" t="s">
        <v>2187</v>
      </c>
      <c r="D207" s="95">
        <v>45632</v>
      </c>
      <c r="E207" s="6" t="s">
        <v>2188</v>
      </c>
      <c r="F207" s="2" t="s">
        <v>1296</v>
      </c>
      <c r="G207" s="19">
        <v>619336</v>
      </c>
      <c r="H207" s="19" t="s">
        <v>2162</v>
      </c>
      <c r="I207" s="2" t="s">
        <v>1296</v>
      </c>
      <c r="J207" s="20" t="s">
        <v>2189</v>
      </c>
      <c r="K207" s="20">
        <v>9</v>
      </c>
      <c r="L207" s="2"/>
      <c r="M207" s="2"/>
      <c r="N207" s="2"/>
      <c r="O207" s="2" t="s">
        <v>2190</v>
      </c>
      <c r="P207" s="95" t="s">
        <v>2191</v>
      </c>
      <c r="Q207" s="2"/>
      <c r="R207" s="2" t="s">
        <v>28</v>
      </c>
      <c r="S207" s="2" t="s">
        <v>2192</v>
      </c>
      <c r="T207" s="18" t="s">
        <v>38</v>
      </c>
      <c r="U207" s="18" t="s">
        <v>2193</v>
      </c>
    </row>
    <row r="208" spans="1:21" x14ac:dyDescent="0.3">
      <c r="A208" t="s">
        <v>38</v>
      </c>
      <c r="B208" s="36" t="s">
        <v>2186</v>
      </c>
      <c r="C208" s="6" t="s">
        <v>2187</v>
      </c>
      <c r="D208" s="95">
        <v>45632</v>
      </c>
      <c r="E208" s="6" t="s">
        <v>2188</v>
      </c>
      <c r="F208" s="2" t="s">
        <v>1296</v>
      </c>
      <c r="G208" s="19">
        <v>619336</v>
      </c>
      <c r="H208" s="19" t="s">
        <v>2162</v>
      </c>
      <c r="I208" s="2" t="s">
        <v>1296</v>
      </c>
      <c r="J208" s="20" t="s">
        <v>2194</v>
      </c>
      <c r="K208" s="20">
        <v>1</v>
      </c>
      <c r="L208" s="2"/>
      <c r="M208" s="2"/>
      <c r="N208" s="2"/>
      <c r="O208" s="2" t="s">
        <v>2190</v>
      </c>
      <c r="P208" s="95" t="s">
        <v>2191</v>
      </c>
      <c r="Q208" s="2"/>
      <c r="R208" s="2" t="s">
        <v>28</v>
      </c>
      <c r="S208" s="2" t="s">
        <v>2192</v>
      </c>
      <c r="T208" s="18" t="s">
        <v>38</v>
      </c>
      <c r="U208" s="18" t="s">
        <v>2193</v>
      </c>
    </row>
    <row r="209" spans="1:21" x14ac:dyDescent="0.3">
      <c r="A209" t="s">
        <v>38</v>
      </c>
      <c r="B209" s="27" t="s">
        <v>2063</v>
      </c>
      <c r="C209" s="2" t="s">
        <v>2195</v>
      </c>
      <c r="D209" s="2" t="s">
        <v>2044</v>
      </c>
      <c r="E209" s="6" t="s">
        <v>2196</v>
      </c>
      <c r="F209" s="6" t="s">
        <v>1462</v>
      </c>
      <c r="G209" s="27" t="s">
        <v>2197</v>
      </c>
      <c r="H209" s="95">
        <v>45540</v>
      </c>
      <c r="I209" s="2" t="s">
        <v>1462</v>
      </c>
      <c r="J209" s="2" t="s">
        <v>977</v>
      </c>
      <c r="K209" s="2">
        <v>324.16000000000003</v>
      </c>
      <c r="L209" s="2"/>
      <c r="M209" s="5">
        <v>15</v>
      </c>
      <c r="N209" s="5">
        <v>20</v>
      </c>
      <c r="O209" s="95" t="s">
        <v>2198</v>
      </c>
      <c r="P209" s="95" t="s">
        <v>2199</v>
      </c>
      <c r="Q209" s="112" t="s">
        <v>2200</v>
      </c>
      <c r="R209" s="2" t="s">
        <v>2201</v>
      </c>
      <c r="S209" s="2" t="s">
        <v>2132</v>
      </c>
      <c r="T209" t="s">
        <v>191</v>
      </c>
      <c r="U209" t="s">
        <v>2202</v>
      </c>
    </row>
    <row r="210" spans="1:21" x14ac:dyDescent="0.3">
      <c r="A210" t="s">
        <v>38</v>
      </c>
      <c r="B210" s="99" t="s">
        <v>1778</v>
      </c>
      <c r="C210" t="s">
        <v>2203</v>
      </c>
      <c r="D210" s="166" t="s">
        <v>1951</v>
      </c>
      <c r="E210" s="6" t="s">
        <v>2204</v>
      </c>
      <c r="F210" s="414" t="s">
        <v>2123</v>
      </c>
      <c r="G210" s="102">
        <v>237650766</v>
      </c>
      <c r="H210" s="370" t="s">
        <v>1932</v>
      </c>
      <c r="I210" s="125" t="s">
        <v>2205</v>
      </c>
      <c r="J210" s="125" t="s">
        <v>1422</v>
      </c>
      <c r="K210" s="125">
        <v>287.43</v>
      </c>
      <c r="L210" s="125"/>
      <c r="M210" s="163">
        <v>12</v>
      </c>
      <c r="N210" s="163">
        <v>20</v>
      </c>
      <c r="O210" s="383" t="s">
        <v>2206</v>
      </c>
      <c r="P210" s="166" t="s">
        <v>2207</v>
      </c>
      <c r="Q210" s="148" t="s">
        <v>2208</v>
      </c>
      <c r="R210" s="125" t="s">
        <v>28</v>
      </c>
      <c r="S210" s="370" t="s">
        <v>2179</v>
      </c>
      <c r="T210" t="s">
        <v>38</v>
      </c>
      <c r="U210" t="s">
        <v>2202</v>
      </c>
    </row>
    <row r="211" spans="1:21" ht="43.2" x14ac:dyDescent="0.3">
      <c r="A211" t="s">
        <v>60</v>
      </c>
      <c r="B211" s="261" t="s">
        <v>2209</v>
      </c>
      <c r="C211" s="2" t="s">
        <v>2210</v>
      </c>
      <c r="D211" s="287">
        <v>45295</v>
      </c>
      <c r="E211" s="401" t="s">
        <v>2211</v>
      </c>
      <c r="F211" s="287">
        <v>45417</v>
      </c>
      <c r="G211" s="252" t="s">
        <v>1232</v>
      </c>
      <c r="H211" s="252" t="s">
        <v>205</v>
      </c>
      <c r="I211" s="252">
        <v>100</v>
      </c>
      <c r="J211" s="252"/>
      <c r="K211" s="283">
        <v>4</v>
      </c>
      <c r="L211" s="283">
        <v>20</v>
      </c>
      <c r="M211" s="287" t="s">
        <v>2212</v>
      </c>
      <c r="N211" s="251" t="s">
        <v>2213</v>
      </c>
      <c r="O211" s="286" t="s">
        <v>2214</v>
      </c>
      <c r="P211" s="252" t="s">
        <v>28</v>
      </c>
      <c r="Q211" s="252" t="s">
        <v>2215</v>
      </c>
      <c r="T211" s="315" t="s">
        <v>2216</v>
      </c>
      <c r="U211" t="s">
        <v>2217</v>
      </c>
    </row>
    <row r="212" spans="1:21" x14ac:dyDescent="0.3">
      <c r="A212" t="s">
        <v>38</v>
      </c>
      <c r="B212" s="27" t="s">
        <v>2218</v>
      </c>
      <c r="C212" s="2" t="s">
        <v>2219</v>
      </c>
      <c r="D212" s="2"/>
      <c r="E212" s="6" t="s">
        <v>2220</v>
      </c>
      <c r="F212" s="6" t="s">
        <v>2123</v>
      </c>
      <c r="G212" s="19">
        <v>237474464</v>
      </c>
      <c r="H212" s="112" t="s">
        <v>2221</v>
      </c>
      <c r="I212" s="2" t="s">
        <v>2222</v>
      </c>
      <c r="J212" s="2" t="s">
        <v>2125</v>
      </c>
      <c r="K212" s="2">
        <v>104.905</v>
      </c>
      <c r="L212" s="2"/>
      <c r="M212" s="5">
        <v>5</v>
      </c>
      <c r="N212" s="5">
        <v>20</v>
      </c>
      <c r="O212" s="19" t="s">
        <v>2223</v>
      </c>
      <c r="P212" s="95" t="s">
        <v>2199</v>
      </c>
      <c r="Q212" s="95" t="s">
        <v>2200</v>
      </c>
      <c r="R212" s="2" t="s">
        <v>28</v>
      </c>
      <c r="S212" s="19" t="s">
        <v>2224</v>
      </c>
      <c r="T212" t="s">
        <v>38</v>
      </c>
      <c r="U212" t="s">
        <v>2208</v>
      </c>
    </row>
    <row r="213" spans="1:21" x14ac:dyDescent="0.3">
      <c r="A213" t="s">
        <v>38</v>
      </c>
      <c r="B213" s="27" t="s">
        <v>1986</v>
      </c>
      <c r="C213" s="2" t="s">
        <v>2225</v>
      </c>
      <c r="D213" s="95">
        <v>45328</v>
      </c>
      <c r="E213" s="2"/>
      <c r="F213" s="2" t="s">
        <v>1296</v>
      </c>
      <c r="G213" s="19" t="s">
        <v>2226</v>
      </c>
      <c r="H213" s="19" t="s">
        <v>2104</v>
      </c>
      <c r="I213" s="2" t="s">
        <v>1296</v>
      </c>
      <c r="J213" s="266" t="s">
        <v>2227</v>
      </c>
      <c r="K213" s="244">
        <v>5</v>
      </c>
      <c r="L213" s="2"/>
      <c r="M213" s="5">
        <v>1</v>
      </c>
      <c r="N213" s="5"/>
      <c r="O213" s="2" t="s">
        <v>2207</v>
      </c>
      <c r="P213" s="95" t="s">
        <v>2191</v>
      </c>
      <c r="Q213" s="2"/>
      <c r="R213" s="2" t="s">
        <v>28</v>
      </c>
      <c r="S213" s="2" t="s">
        <v>38</v>
      </c>
      <c r="T213" s="18" t="s">
        <v>38</v>
      </c>
      <c r="U213" s="18" t="s">
        <v>2228</v>
      </c>
    </row>
    <row r="214" spans="1:21" x14ac:dyDescent="0.3">
      <c r="A214" t="s">
        <v>38</v>
      </c>
      <c r="B214" s="27" t="s">
        <v>2229</v>
      </c>
      <c r="C214" s="2" t="s">
        <v>2230</v>
      </c>
      <c r="D214" s="2" t="s">
        <v>1969</v>
      </c>
      <c r="E214" s="6" t="s">
        <v>2231</v>
      </c>
      <c r="F214" s="6" t="s">
        <v>1702</v>
      </c>
      <c r="G214" s="27" t="s">
        <v>2232</v>
      </c>
      <c r="H214" s="95">
        <v>45477</v>
      </c>
      <c r="I214" s="2" t="s">
        <v>1702</v>
      </c>
      <c r="J214" s="2" t="s">
        <v>2233</v>
      </c>
      <c r="K214" s="2">
        <v>80</v>
      </c>
      <c r="L214" s="2"/>
      <c r="M214" s="5">
        <v>4</v>
      </c>
      <c r="N214" s="5">
        <v>20</v>
      </c>
      <c r="O214" s="95" t="s">
        <v>2234</v>
      </c>
      <c r="P214" s="95" t="s">
        <v>2190</v>
      </c>
      <c r="Q214" s="260" t="s">
        <v>2235</v>
      </c>
      <c r="R214" s="2" t="s">
        <v>28</v>
      </c>
      <c r="S214" s="19" t="s">
        <v>2236</v>
      </c>
      <c r="T214" t="s">
        <v>191</v>
      </c>
      <c r="U214" t="s">
        <v>2191</v>
      </c>
    </row>
    <row r="215" spans="1:21" ht="43.2" x14ac:dyDescent="0.3">
      <c r="A215" t="s">
        <v>38</v>
      </c>
      <c r="B215" s="27" t="s">
        <v>2237</v>
      </c>
      <c r="C215" s="2" t="s">
        <v>2238</v>
      </c>
      <c r="D215" s="95">
        <v>45355</v>
      </c>
      <c r="E215" s="415" t="s">
        <v>2239</v>
      </c>
      <c r="F215" s="6" t="s">
        <v>1462</v>
      </c>
      <c r="G215" s="25" t="s">
        <v>2240</v>
      </c>
      <c r="H215" s="95">
        <v>45417</v>
      </c>
      <c r="I215" s="2" t="s">
        <v>1462</v>
      </c>
      <c r="J215" s="2" t="s">
        <v>2094</v>
      </c>
      <c r="K215" s="2">
        <v>481.89</v>
      </c>
      <c r="L215" s="2"/>
      <c r="M215" s="5">
        <v>22</v>
      </c>
      <c r="N215" s="5">
        <v>20</v>
      </c>
      <c r="O215" s="95" t="s">
        <v>2241</v>
      </c>
      <c r="P215" s="95" t="s">
        <v>2242</v>
      </c>
      <c r="Q215" s="2" t="s">
        <v>2243</v>
      </c>
      <c r="R215" s="2" t="s">
        <v>121</v>
      </c>
      <c r="S215" s="2" t="s">
        <v>2132</v>
      </c>
      <c r="T215" s="343" t="s">
        <v>2244</v>
      </c>
      <c r="U215" s="343" t="s">
        <v>2245</v>
      </c>
    </row>
    <row r="216" spans="1:21" x14ac:dyDescent="0.3">
      <c r="A216" t="s">
        <v>60</v>
      </c>
      <c r="B216" s="2" t="s">
        <v>895</v>
      </c>
      <c r="C216" s="2" t="s">
        <v>2246</v>
      </c>
      <c r="D216" s="2" t="s">
        <v>2179</v>
      </c>
      <c r="E216" s="19" t="s">
        <v>2247</v>
      </c>
      <c r="F216" s="19" t="s">
        <v>2248</v>
      </c>
      <c r="G216" s="2" t="s">
        <v>1296</v>
      </c>
      <c r="H216" s="2" t="s">
        <v>1768</v>
      </c>
      <c r="I216" s="2">
        <v>5</v>
      </c>
      <c r="J216" s="2"/>
      <c r="K216" s="5">
        <v>1</v>
      </c>
      <c r="L216" s="2"/>
      <c r="M216" s="112" t="s">
        <v>2217</v>
      </c>
      <c r="N216" s="112" t="s">
        <v>2208</v>
      </c>
      <c r="O216" s="2">
        <v>3</v>
      </c>
      <c r="P216" s="2" t="s">
        <v>28</v>
      </c>
      <c r="Q216" s="252"/>
      <c r="T216" t="s">
        <v>38</v>
      </c>
      <c r="U216" t="s">
        <v>2249</v>
      </c>
    </row>
    <row r="217" spans="1:21" x14ac:dyDescent="0.3">
      <c r="A217" t="s">
        <v>55</v>
      </c>
      <c r="B217" s="2" t="s">
        <v>891</v>
      </c>
      <c r="C217" s="6" t="s">
        <v>2250</v>
      </c>
      <c r="D217" s="2"/>
      <c r="E217" s="112">
        <v>45681</v>
      </c>
      <c r="F217" s="2" t="s">
        <v>1296</v>
      </c>
      <c r="G217" s="2" t="s">
        <v>2251</v>
      </c>
      <c r="H217" s="2" t="s">
        <v>2193</v>
      </c>
      <c r="I217" s="2" t="s">
        <v>1296</v>
      </c>
      <c r="J217" s="2" t="s">
        <v>893</v>
      </c>
      <c r="K217" s="2">
        <v>4</v>
      </c>
      <c r="L217" s="2"/>
      <c r="M217" s="2"/>
      <c r="N217" s="2"/>
      <c r="O217" s="95" t="s">
        <v>2235</v>
      </c>
      <c r="P217" s="2" t="s">
        <v>2243</v>
      </c>
      <c r="Q217" s="2"/>
      <c r="R217" s="2" t="s">
        <v>121</v>
      </c>
      <c r="S217" s="2"/>
      <c r="T217" s="18" t="s">
        <v>55</v>
      </c>
      <c r="U217" s="18" t="s">
        <v>2252</v>
      </c>
    </row>
    <row r="218" spans="1:21" ht="28.8" x14ac:dyDescent="0.3">
      <c r="A218" t="s">
        <v>60</v>
      </c>
      <c r="B218" s="261" t="s">
        <v>351</v>
      </c>
      <c r="C218" s="2" t="s">
        <v>2253</v>
      </c>
      <c r="D218" s="287">
        <v>45324</v>
      </c>
      <c r="E218" s="2" t="s">
        <v>2254</v>
      </c>
      <c r="F218" s="283"/>
      <c r="G218" s="252" t="s">
        <v>1904</v>
      </c>
      <c r="H218" s="252" t="s">
        <v>2255</v>
      </c>
      <c r="I218" s="252">
        <v>16</v>
      </c>
      <c r="J218" s="252"/>
      <c r="K218" s="283">
        <v>1</v>
      </c>
      <c r="L218" s="283">
        <v>40</v>
      </c>
      <c r="M218" s="287" t="s">
        <v>2214</v>
      </c>
      <c r="N218" s="287" t="s">
        <v>2256</v>
      </c>
      <c r="O218" s="252" t="s">
        <v>2257</v>
      </c>
      <c r="P218" s="252" t="s">
        <v>28</v>
      </c>
      <c r="Q218" s="287">
        <v>45448</v>
      </c>
      <c r="T218" t="s">
        <v>60</v>
      </c>
      <c r="U218" t="s">
        <v>2258</v>
      </c>
    </row>
    <row r="219" spans="1:21" x14ac:dyDescent="0.3">
      <c r="A219" t="s">
        <v>38</v>
      </c>
      <c r="B219" s="36" t="s">
        <v>202</v>
      </c>
      <c r="C219" s="6" t="s">
        <v>2259</v>
      </c>
      <c r="D219" s="2"/>
      <c r="E219" s="2" t="s">
        <v>2260</v>
      </c>
      <c r="F219" s="2" t="s">
        <v>2193</v>
      </c>
      <c r="G219" s="19">
        <v>202022251</v>
      </c>
      <c r="H219" s="2" t="s">
        <v>2252</v>
      </c>
      <c r="I219" s="2" t="s">
        <v>1296</v>
      </c>
      <c r="J219" s="2" t="s">
        <v>205</v>
      </c>
      <c r="K219" s="2">
        <v>30</v>
      </c>
      <c r="L219" s="2"/>
      <c r="M219" s="5">
        <v>1</v>
      </c>
      <c r="N219" s="2"/>
      <c r="O219" s="95" t="s">
        <v>2261</v>
      </c>
      <c r="P219" s="2" t="s">
        <v>2262</v>
      </c>
      <c r="Q219" s="2"/>
      <c r="R219" s="2" t="s">
        <v>28</v>
      </c>
      <c r="S219" s="2"/>
      <c r="T219" s="18" t="s">
        <v>38</v>
      </c>
      <c r="U219" s="18" t="s">
        <v>2263</v>
      </c>
    </row>
    <row r="220" spans="1:21" x14ac:dyDescent="0.3">
      <c r="A220" t="s">
        <v>55</v>
      </c>
      <c r="B220" s="36" t="s">
        <v>202</v>
      </c>
      <c r="C220" s="6" t="s">
        <v>2259</v>
      </c>
      <c r="D220" s="2"/>
      <c r="E220" s="2" t="s">
        <v>2264</v>
      </c>
      <c r="F220" s="2" t="s">
        <v>2193</v>
      </c>
      <c r="G220" s="19">
        <v>202021013</v>
      </c>
      <c r="H220" s="2" t="s">
        <v>2256</v>
      </c>
      <c r="I220" s="2" t="s">
        <v>1296</v>
      </c>
      <c r="J220" s="2" t="s">
        <v>205</v>
      </c>
      <c r="K220" s="2">
        <v>30</v>
      </c>
      <c r="L220" s="2"/>
      <c r="M220" s="5">
        <v>1</v>
      </c>
      <c r="N220" s="2"/>
      <c r="O220" s="95" t="s">
        <v>2261</v>
      </c>
      <c r="P220" s="2" t="s">
        <v>2265</v>
      </c>
      <c r="Q220" s="2"/>
      <c r="R220" s="2" t="s">
        <v>28</v>
      </c>
      <c r="S220" s="2"/>
      <c r="T220" s="18" t="s">
        <v>350</v>
      </c>
      <c r="U220" s="18" t="s">
        <v>2266</v>
      </c>
    </row>
    <row r="221" spans="1:21" ht="28.8" x14ac:dyDescent="0.3">
      <c r="A221" t="s">
        <v>38</v>
      </c>
      <c r="B221" s="27" t="s">
        <v>2267</v>
      </c>
      <c r="C221" s="2" t="s">
        <v>2268</v>
      </c>
      <c r="D221" s="2" t="s">
        <v>1969</v>
      </c>
      <c r="E221" s="6">
        <v>21022024</v>
      </c>
      <c r="F221" s="6"/>
      <c r="G221" s="25" t="s">
        <v>2269</v>
      </c>
      <c r="H221" s="2"/>
      <c r="I221" s="2" t="s">
        <v>2270</v>
      </c>
      <c r="J221" s="266" t="s">
        <v>2271</v>
      </c>
      <c r="K221" s="244" t="s">
        <v>2272</v>
      </c>
      <c r="L221" s="2"/>
      <c r="M221" s="5">
        <v>1</v>
      </c>
      <c r="N221" s="5">
        <v>20</v>
      </c>
      <c r="O221" s="95" t="s">
        <v>2191</v>
      </c>
      <c r="P221" s="95" t="s">
        <v>2273</v>
      </c>
      <c r="Q221" s="2" t="s">
        <v>2274</v>
      </c>
      <c r="R221" s="2" t="s">
        <v>28</v>
      </c>
      <c r="S221" s="2" t="s">
        <v>2095</v>
      </c>
      <c r="T221" s="18" t="s">
        <v>38</v>
      </c>
      <c r="U221" s="18" t="s">
        <v>2275</v>
      </c>
    </row>
    <row r="222" spans="1:21" x14ac:dyDescent="0.3">
      <c r="A222" t="s">
        <v>38</v>
      </c>
      <c r="B222" s="27" t="s">
        <v>2229</v>
      </c>
      <c r="C222" s="2" t="s">
        <v>2230</v>
      </c>
      <c r="D222" s="2" t="s">
        <v>1969</v>
      </c>
      <c r="E222" s="6" t="s">
        <v>2231</v>
      </c>
      <c r="F222" s="6" t="s">
        <v>1702</v>
      </c>
      <c r="G222" s="25" t="s">
        <v>2276</v>
      </c>
      <c r="H222" s="95" t="s">
        <v>1974</v>
      </c>
      <c r="I222" s="2" t="s">
        <v>1702</v>
      </c>
      <c r="J222" s="2" t="s">
        <v>2233</v>
      </c>
      <c r="K222" s="2">
        <v>100</v>
      </c>
      <c r="L222" s="2"/>
      <c r="M222" s="5">
        <v>5</v>
      </c>
      <c r="N222" s="5">
        <v>20</v>
      </c>
      <c r="O222" s="95" t="s">
        <v>2217</v>
      </c>
      <c r="P222" s="95" t="s">
        <v>2273</v>
      </c>
      <c r="Q222" s="2" t="s">
        <v>2277</v>
      </c>
      <c r="R222" s="2" t="s">
        <v>28</v>
      </c>
      <c r="S222" s="2" t="s">
        <v>2091</v>
      </c>
      <c r="T222" s="18" t="s">
        <v>191</v>
      </c>
      <c r="U222" s="18" t="s">
        <v>2278</v>
      </c>
    </row>
    <row r="223" spans="1:21" ht="15.6" x14ac:dyDescent="0.3">
      <c r="A223" t="s">
        <v>38</v>
      </c>
      <c r="B223" s="27" t="s">
        <v>2279</v>
      </c>
      <c r="C223" s="2" t="s">
        <v>2280</v>
      </c>
      <c r="D223" s="2" t="s">
        <v>1951</v>
      </c>
      <c r="E223" s="124" t="s">
        <v>2281</v>
      </c>
      <c r="F223" s="124"/>
      <c r="G223" s="2" t="s">
        <v>2282</v>
      </c>
      <c r="H223" s="2" t="s">
        <v>2088</v>
      </c>
      <c r="I223" s="2" t="s">
        <v>1232</v>
      </c>
      <c r="J223" s="2" t="s">
        <v>2283</v>
      </c>
      <c r="K223" s="2">
        <v>1</v>
      </c>
      <c r="L223" s="2"/>
      <c r="M223" s="5">
        <v>1</v>
      </c>
      <c r="N223" s="5">
        <v>40</v>
      </c>
      <c r="O223" s="95" t="s">
        <v>2191</v>
      </c>
      <c r="P223" s="95" t="s">
        <v>2261</v>
      </c>
      <c r="Q223" s="2" t="s">
        <v>2277</v>
      </c>
      <c r="R223" s="2" t="s">
        <v>28</v>
      </c>
      <c r="S223" s="2" t="s">
        <v>2169</v>
      </c>
      <c r="T223" s="420" t="s">
        <v>2284</v>
      </c>
      <c r="U223" s="74" t="s">
        <v>2274</v>
      </c>
    </row>
    <row r="224" spans="1:21" x14ac:dyDescent="0.3">
      <c r="A224" t="s">
        <v>38</v>
      </c>
      <c r="B224" s="27" t="s">
        <v>2285</v>
      </c>
      <c r="C224" s="2" t="s">
        <v>2286</v>
      </c>
      <c r="D224" s="2"/>
      <c r="E224" s="2" t="s">
        <v>2287</v>
      </c>
      <c r="F224" s="2" t="s">
        <v>1296</v>
      </c>
      <c r="G224" s="2"/>
      <c r="H224" s="2"/>
      <c r="I224" s="2"/>
      <c r="J224" s="2" t="s">
        <v>2288</v>
      </c>
      <c r="K224" s="2">
        <v>1</v>
      </c>
      <c r="L224" s="2"/>
      <c r="M224" s="2">
        <v>1</v>
      </c>
      <c r="N224" s="2"/>
      <c r="O224" s="2" t="s">
        <v>2266</v>
      </c>
      <c r="P224" s="2" t="s">
        <v>2275</v>
      </c>
      <c r="Q224" s="2" t="s">
        <v>2289</v>
      </c>
      <c r="R224" s="2" t="s">
        <v>121</v>
      </c>
      <c r="S224" s="2"/>
      <c r="T224" s="18" t="s">
        <v>2284</v>
      </c>
      <c r="U224" s="74" t="s">
        <v>2278</v>
      </c>
    </row>
    <row r="225" spans="1:21" x14ac:dyDescent="0.3">
      <c r="A225" t="s">
        <v>60</v>
      </c>
      <c r="B225" s="261" t="s">
        <v>2209</v>
      </c>
      <c r="C225" s="2" t="s">
        <v>2290</v>
      </c>
      <c r="D225" s="287" t="s">
        <v>1914</v>
      </c>
      <c r="E225" s="413" t="s">
        <v>2291</v>
      </c>
      <c r="F225" s="287">
        <v>45631</v>
      </c>
      <c r="G225" s="252" t="s">
        <v>1232</v>
      </c>
      <c r="H225" s="252" t="s">
        <v>2178</v>
      </c>
      <c r="I225" s="252">
        <v>27</v>
      </c>
      <c r="J225" s="252"/>
      <c r="K225" s="283">
        <v>1</v>
      </c>
      <c r="L225" s="283">
        <v>40</v>
      </c>
      <c r="M225" s="287" t="s">
        <v>2292</v>
      </c>
      <c r="N225" s="251" t="s">
        <v>2257</v>
      </c>
      <c r="O225" s="252" t="s">
        <v>2293</v>
      </c>
      <c r="P225" s="252" t="s">
        <v>28</v>
      </c>
      <c r="Q225" s="252" t="s">
        <v>2273</v>
      </c>
      <c r="R225" s="421" t="s">
        <v>2294</v>
      </c>
      <c r="S225" s="282" t="s">
        <v>2261</v>
      </c>
      <c r="T225" s="18" t="s">
        <v>350</v>
      </c>
      <c r="U225" s="74" t="s">
        <v>2295</v>
      </c>
    </row>
    <row r="226" spans="1:21" x14ac:dyDescent="0.3">
      <c r="A226" t="s">
        <v>55</v>
      </c>
      <c r="B226" s="27" t="s">
        <v>2296</v>
      </c>
      <c r="C226" s="2" t="s">
        <v>2297</v>
      </c>
      <c r="D226" s="2"/>
      <c r="E226" s="2"/>
      <c r="F226" s="2"/>
      <c r="G226" s="25" t="s">
        <v>2298</v>
      </c>
      <c r="H226" s="2" t="s">
        <v>2049</v>
      </c>
      <c r="I226" s="2" t="s">
        <v>2299</v>
      </c>
      <c r="J226" s="2" t="s">
        <v>2300</v>
      </c>
      <c r="K226" s="2">
        <v>1</v>
      </c>
      <c r="L226" s="2"/>
      <c r="M226" s="2"/>
      <c r="N226" s="2"/>
      <c r="O226" s="2" t="s">
        <v>2301</v>
      </c>
      <c r="P226" s="95" t="s">
        <v>2295</v>
      </c>
      <c r="Q226" s="44" t="s">
        <v>1817</v>
      </c>
      <c r="R226" s="2" t="s">
        <v>28</v>
      </c>
      <c r="S226" s="2"/>
      <c r="T226" s="18" t="s">
        <v>55</v>
      </c>
      <c r="U226" s="74" t="s">
        <v>2277</v>
      </c>
    </row>
    <row r="227" spans="1:21" ht="43.2" x14ac:dyDescent="0.3">
      <c r="A227" t="s">
        <v>287</v>
      </c>
      <c r="B227" s="27" t="s">
        <v>758</v>
      </c>
      <c r="C227" s="2" t="s">
        <v>2302</v>
      </c>
      <c r="D227" s="2" t="s">
        <v>2249</v>
      </c>
      <c r="E227" s="266" t="s">
        <v>2303</v>
      </c>
      <c r="F227" s="2" t="s">
        <v>2266</v>
      </c>
      <c r="G227" s="2" t="s">
        <v>1938</v>
      </c>
      <c r="H227" s="266" t="s">
        <v>2304</v>
      </c>
      <c r="I227" s="266" t="s">
        <v>2305</v>
      </c>
      <c r="J227" s="2"/>
      <c r="K227" s="2"/>
      <c r="L227" s="2"/>
      <c r="M227" s="2" t="s">
        <v>2306</v>
      </c>
      <c r="N227" s="2" t="s">
        <v>2278</v>
      </c>
      <c r="O227" s="2"/>
      <c r="P227" s="2" t="s">
        <v>121</v>
      </c>
      <c r="Q227" s="2" t="s">
        <v>2278</v>
      </c>
      <c r="T227" s="18" t="s">
        <v>287</v>
      </c>
      <c r="U227" s="74" t="s">
        <v>2277</v>
      </c>
    </row>
    <row r="228" spans="1:21" x14ac:dyDescent="0.3">
      <c r="A228" t="s">
        <v>38</v>
      </c>
      <c r="B228" s="27" t="s">
        <v>2307</v>
      </c>
      <c r="C228" s="6" t="s">
        <v>2308</v>
      </c>
      <c r="D228" s="2" t="s">
        <v>2059</v>
      </c>
      <c r="E228" s="19">
        <v>20240419</v>
      </c>
      <c r="F228" s="2" t="s">
        <v>1232</v>
      </c>
      <c r="G228" s="2" t="s">
        <v>2309</v>
      </c>
      <c r="H228" s="95">
        <v>45388</v>
      </c>
      <c r="I228" s="2" t="s">
        <v>1232</v>
      </c>
      <c r="J228" s="2" t="s">
        <v>2310</v>
      </c>
      <c r="K228" s="2">
        <v>1</v>
      </c>
      <c r="L228" s="2"/>
      <c r="M228" s="5">
        <v>1</v>
      </c>
      <c r="N228" s="2"/>
      <c r="O228" s="95" t="s">
        <v>2252</v>
      </c>
      <c r="P228" s="2" t="s">
        <v>2295</v>
      </c>
      <c r="Q228" s="2"/>
      <c r="R228" s="2" t="s">
        <v>28</v>
      </c>
      <c r="S228" s="2" t="s">
        <v>2311</v>
      </c>
      <c r="T228" s="18" t="s">
        <v>2284</v>
      </c>
      <c r="U228" s="74" t="s">
        <v>2277</v>
      </c>
    </row>
    <row r="229" spans="1:21" x14ac:dyDescent="0.3">
      <c r="A229" t="s">
        <v>38</v>
      </c>
      <c r="B229" s="36" t="s">
        <v>2312</v>
      </c>
      <c r="C229" s="6" t="s">
        <v>2313</v>
      </c>
      <c r="D229" s="2" t="s">
        <v>2202</v>
      </c>
      <c r="E229" s="6">
        <v>6999202171</v>
      </c>
      <c r="F229" s="2" t="s">
        <v>1296</v>
      </c>
      <c r="G229" s="2" t="s">
        <v>2314</v>
      </c>
      <c r="H229" s="2" t="s">
        <v>2266</v>
      </c>
      <c r="I229" s="2" t="s">
        <v>1296</v>
      </c>
      <c r="J229" s="20" t="s">
        <v>1408</v>
      </c>
      <c r="K229" s="2">
        <v>5</v>
      </c>
      <c r="L229" s="2"/>
      <c r="M229" s="5">
        <v>1</v>
      </c>
      <c r="N229" s="2"/>
      <c r="O229" s="2" t="s">
        <v>2278</v>
      </c>
      <c r="P229" s="2" t="s">
        <v>2277</v>
      </c>
      <c r="Q229" s="2"/>
      <c r="R229" s="2" t="s">
        <v>28</v>
      </c>
      <c r="T229" s="18" t="s">
        <v>38</v>
      </c>
      <c r="U229" s="74" t="s">
        <v>2315</v>
      </c>
    </row>
    <row r="230" spans="1:21" ht="43.2" x14ac:dyDescent="0.3">
      <c r="A230" t="s">
        <v>38</v>
      </c>
      <c r="B230" s="27" t="s">
        <v>2316</v>
      </c>
      <c r="C230" s="2" t="s">
        <v>2317</v>
      </c>
      <c r="D230" s="19" t="s">
        <v>1736</v>
      </c>
      <c r="E230" s="6">
        <v>17346</v>
      </c>
      <c r="F230" s="6" t="s">
        <v>1904</v>
      </c>
      <c r="G230" s="2" t="s">
        <v>2318</v>
      </c>
      <c r="H230" s="2" t="s">
        <v>1943</v>
      </c>
      <c r="I230" s="2" t="s">
        <v>1904</v>
      </c>
      <c r="J230" s="2" t="s">
        <v>2319</v>
      </c>
      <c r="K230" s="2">
        <v>433.43900000000002</v>
      </c>
      <c r="L230" s="2"/>
      <c r="M230" s="5">
        <v>18</v>
      </c>
      <c r="N230" s="5">
        <v>40</v>
      </c>
      <c r="O230" s="95" t="s">
        <v>2320</v>
      </c>
      <c r="P230" s="95" t="s">
        <v>2266</v>
      </c>
      <c r="Q230" s="2" t="s">
        <v>2321</v>
      </c>
      <c r="R230" s="2" t="s">
        <v>121</v>
      </c>
      <c r="S230" s="19" t="s">
        <v>2058</v>
      </c>
      <c r="T230" s="315" t="s">
        <v>2322</v>
      </c>
      <c r="U230" s="315" t="s">
        <v>2323</v>
      </c>
    </row>
    <row r="231" spans="1:21" x14ac:dyDescent="0.3">
      <c r="B231" s="36" t="s">
        <v>1966</v>
      </c>
      <c r="C231" s="6" t="s">
        <v>2324</v>
      </c>
      <c r="D231" s="2" t="s">
        <v>2202</v>
      </c>
      <c r="E231" s="19">
        <v>177</v>
      </c>
      <c r="F231" s="2" t="s">
        <v>2234</v>
      </c>
      <c r="G231" s="19" t="s">
        <v>2325</v>
      </c>
      <c r="H231" s="2" t="s">
        <v>2200</v>
      </c>
      <c r="I231" s="19" t="s">
        <v>1296</v>
      </c>
      <c r="J231" s="2" t="s">
        <v>2326</v>
      </c>
      <c r="K231" s="2">
        <v>1025</v>
      </c>
      <c r="L231" s="2"/>
      <c r="M231" s="2"/>
      <c r="N231" s="2"/>
      <c r="O231" s="95" t="s">
        <v>2327</v>
      </c>
      <c r="P231" s="2" t="s">
        <v>2328</v>
      </c>
      <c r="Q231" s="2"/>
      <c r="R231" s="2" t="s">
        <v>28</v>
      </c>
      <c r="S231" s="27"/>
      <c r="T231" s="74" t="s">
        <v>38</v>
      </c>
      <c r="U231" s="74" t="s">
        <v>2329</v>
      </c>
    </row>
    <row r="232" spans="1:21" ht="28.8" x14ac:dyDescent="0.3">
      <c r="A232" t="s">
        <v>60</v>
      </c>
      <c r="B232" s="261" t="s">
        <v>2330</v>
      </c>
      <c r="C232" s="252" t="s">
        <v>2331</v>
      </c>
      <c r="D232" s="252" t="s">
        <v>2200</v>
      </c>
      <c r="E232" s="252" t="s">
        <v>2332</v>
      </c>
      <c r="F232" s="252" t="s">
        <v>2252</v>
      </c>
      <c r="G232" s="252" t="s">
        <v>1296</v>
      </c>
      <c r="H232" s="252" t="s">
        <v>205</v>
      </c>
      <c r="I232" s="252">
        <v>30</v>
      </c>
      <c r="J232" s="252"/>
      <c r="K232" s="283">
        <v>1</v>
      </c>
      <c r="L232" s="283"/>
      <c r="M232" s="252" t="s">
        <v>2295</v>
      </c>
      <c r="N232" s="252" t="s">
        <v>2277</v>
      </c>
      <c r="O232" s="252"/>
      <c r="P232" s="252" t="s">
        <v>121</v>
      </c>
      <c r="Q232" s="252"/>
      <c r="T232" t="s">
        <v>60</v>
      </c>
      <c r="U232" t="s">
        <v>2333</v>
      </c>
    </row>
    <row r="233" spans="1:21" ht="43.2" x14ac:dyDescent="0.3">
      <c r="A233" t="s">
        <v>38</v>
      </c>
      <c r="B233" s="27" t="s">
        <v>2334</v>
      </c>
      <c r="C233" t="s">
        <v>2335</v>
      </c>
      <c r="D233" s="19" t="s">
        <v>2044</v>
      </c>
      <c r="E233" s="415" t="s">
        <v>2336</v>
      </c>
      <c r="F233" s="6" t="s">
        <v>1462</v>
      </c>
      <c r="G233" s="2" t="s">
        <v>2337</v>
      </c>
      <c r="H233" s="2" t="s">
        <v>2115</v>
      </c>
      <c r="I233" s="2" t="s">
        <v>1462</v>
      </c>
      <c r="J233" s="20" t="s">
        <v>137</v>
      </c>
      <c r="K233" s="20">
        <v>481.93</v>
      </c>
      <c r="L233" s="2"/>
      <c r="M233" s="5">
        <v>22</v>
      </c>
      <c r="N233" s="5">
        <v>20</v>
      </c>
      <c r="O233" s="2" t="s">
        <v>2261</v>
      </c>
      <c r="P233" s="95" t="s">
        <v>2327</v>
      </c>
      <c r="Q233" s="2" t="s">
        <v>2338</v>
      </c>
      <c r="R233" s="2" t="s">
        <v>665</v>
      </c>
      <c r="S233" s="19"/>
      <c r="T233" s="315" t="s">
        <v>2339</v>
      </c>
      <c r="U233" s="315" t="s">
        <v>2340</v>
      </c>
    </row>
    <row r="234" spans="1:21" ht="57.6" x14ac:dyDescent="0.3">
      <c r="A234" t="s">
        <v>38</v>
      </c>
      <c r="B234" s="27" t="s">
        <v>2237</v>
      </c>
      <c r="C234" s="20" t="s">
        <v>2341</v>
      </c>
      <c r="D234" s="19" t="s">
        <v>2342</v>
      </c>
      <c r="E234" s="415" t="s">
        <v>2343</v>
      </c>
      <c r="F234" s="6" t="s">
        <v>1462</v>
      </c>
      <c r="G234" s="2" t="s">
        <v>2344</v>
      </c>
      <c r="H234" s="2" t="s">
        <v>1932</v>
      </c>
      <c r="I234" s="2" t="s">
        <v>1462</v>
      </c>
      <c r="J234" s="20" t="s">
        <v>137</v>
      </c>
      <c r="K234" s="20">
        <v>216.51</v>
      </c>
      <c r="L234" s="2"/>
      <c r="M234" s="5">
        <v>10</v>
      </c>
      <c r="N234" s="5">
        <v>20</v>
      </c>
      <c r="O234" s="383" t="s">
        <v>2275</v>
      </c>
      <c r="P234" s="95" t="s">
        <v>2327</v>
      </c>
      <c r="Q234" s="2" t="s">
        <v>2338</v>
      </c>
      <c r="R234" s="2" t="s">
        <v>2345</v>
      </c>
      <c r="S234" s="95">
        <v>45478</v>
      </c>
      <c r="T234" s="315" t="s">
        <v>2346</v>
      </c>
      <c r="U234" s="315" t="s">
        <v>2347</v>
      </c>
    </row>
    <row r="235" spans="1:21" x14ac:dyDescent="0.3">
      <c r="A235" t="s">
        <v>287</v>
      </c>
      <c r="B235" s="27" t="s">
        <v>330</v>
      </c>
      <c r="C235" s="2" t="s">
        <v>2348</v>
      </c>
      <c r="D235" s="2" t="s">
        <v>2213</v>
      </c>
      <c r="E235" s="2" t="s">
        <v>2349</v>
      </c>
      <c r="F235" s="2" t="s">
        <v>2261</v>
      </c>
      <c r="G235" s="2"/>
      <c r="H235" s="2" t="s">
        <v>333</v>
      </c>
      <c r="I235" s="2">
        <v>20</v>
      </c>
      <c r="J235" s="2"/>
      <c r="K235" s="2"/>
      <c r="L235" s="2"/>
      <c r="M235" s="2" t="s">
        <v>2306</v>
      </c>
      <c r="N235" s="2" t="s">
        <v>2278</v>
      </c>
      <c r="O235" s="2"/>
      <c r="P235" s="2" t="s">
        <v>28</v>
      </c>
      <c r="Q235" s="2"/>
      <c r="T235" s="315" t="s">
        <v>287</v>
      </c>
      <c r="U235" s="315" t="s">
        <v>2350</v>
      </c>
    </row>
    <row r="236" spans="1:21" x14ac:dyDescent="0.3">
      <c r="A236" t="s">
        <v>38</v>
      </c>
      <c r="B236" s="36" t="s">
        <v>2351</v>
      </c>
      <c r="C236" s="6" t="s">
        <v>2352</v>
      </c>
      <c r="D236" s="2"/>
      <c r="E236" s="2" t="s">
        <v>2353</v>
      </c>
      <c r="F236" s="2" t="s">
        <v>1296</v>
      </c>
      <c r="G236" s="2" t="s">
        <v>2354</v>
      </c>
      <c r="H236" s="2" t="s">
        <v>2327</v>
      </c>
      <c r="I236" s="2" t="s">
        <v>1296</v>
      </c>
      <c r="J236" s="2" t="s">
        <v>205</v>
      </c>
      <c r="K236" s="2">
        <v>30</v>
      </c>
      <c r="L236" s="2"/>
      <c r="M236" s="5">
        <v>1</v>
      </c>
      <c r="N236" s="5">
        <v>20</v>
      </c>
      <c r="O236" s="2" t="s">
        <v>2355</v>
      </c>
      <c r="P236" s="2" t="s">
        <v>2356</v>
      </c>
      <c r="Q236" s="2"/>
      <c r="R236" s="2" t="s">
        <v>121</v>
      </c>
      <c r="S236" s="2" t="s">
        <v>2355</v>
      </c>
      <c r="T236" s="315" t="s">
        <v>191</v>
      </c>
      <c r="U236" s="315" t="s">
        <v>2355</v>
      </c>
    </row>
    <row r="237" spans="1:21" x14ac:dyDescent="0.3">
      <c r="A237" t="s">
        <v>287</v>
      </c>
      <c r="B237" s="27" t="s">
        <v>2357</v>
      </c>
      <c r="C237" s="2" t="s">
        <v>2358</v>
      </c>
      <c r="D237" s="2" t="s">
        <v>2274</v>
      </c>
      <c r="E237" s="2" t="s">
        <v>2359</v>
      </c>
      <c r="F237" s="2" t="s">
        <v>2328</v>
      </c>
      <c r="G237" s="2" t="s">
        <v>1767</v>
      </c>
      <c r="H237" s="2" t="s">
        <v>2360</v>
      </c>
      <c r="I237" s="2">
        <v>30</v>
      </c>
      <c r="J237" s="2"/>
      <c r="K237" s="5">
        <v>1</v>
      </c>
      <c r="L237" s="2"/>
      <c r="M237" s="2" t="s">
        <v>2293</v>
      </c>
      <c r="N237" s="2" t="s">
        <v>2321</v>
      </c>
      <c r="O237" s="2"/>
      <c r="P237" s="2" t="s">
        <v>121</v>
      </c>
      <c r="Q237" s="2" t="s">
        <v>2355</v>
      </c>
      <c r="T237" s="315" t="s">
        <v>287</v>
      </c>
    </row>
    <row r="238" spans="1:21" x14ac:dyDescent="0.3">
      <c r="A238" t="s">
        <v>38</v>
      </c>
      <c r="B238" s="27" t="s">
        <v>2229</v>
      </c>
      <c r="C238" s="2" t="s">
        <v>2361</v>
      </c>
      <c r="D238" s="2" t="s">
        <v>1944</v>
      </c>
      <c r="E238" s="6" t="s">
        <v>2362</v>
      </c>
      <c r="F238" s="6" t="s">
        <v>1702</v>
      </c>
      <c r="G238" s="25" t="s">
        <v>2363</v>
      </c>
      <c r="H238" s="2" t="s">
        <v>2048</v>
      </c>
      <c r="I238" s="2" t="s">
        <v>1702</v>
      </c>
      <c r="J238" s="2" t="s">
        <v>2135</v>
      </c>
      <c r="K238" s="2">
        <v>199.904</v>
      </c>
      <c r="L238" s="2"/>
      <c r="M238" s="5">
        <v>8</v>
      </c>
      <c r="N238" s="5">
        <v>20</v>
      </c>
      <c r="O238" s="2" t="s">
        <v>2235</v>
      </c>
      <c r="P238" s="95" t="s">
        <v>2333</v>
      </c>
      <c r="Q238" s="2" t="s">
        <v>2329</v>
      </c>
      <c r="R238" s="2" t="s">
        <v>121</v>
      </c>
      <c r="S238" s="2" t="s">
        <v>2132</v>
      </c>
      <c r="T238" s="18" t="s">
        <v>38</v>
      </c>
      <c r="U238" s="18" t="s">
        <v>2364</v>
      </c>
    </row>
    <row r="239" spans="1:21" x14ac:dyDescent="0.3">
      <c r="A239" t="s">
        <v>38</v>
      </c>
      <c r="B239" s="27" t="s">
        <v>2229</v>
      </c>
      <c r="C239" s="2" t="s">
        <v>2230</v>
      </c>
      <c r="D239" s="2" t="s">
        <v>1969</v>
      </c>
      <c r="E239" s="6" t="s">
        <v>2231</v>
      </c>
      <c r="F239" s="6" t="s">
        <v>1702</v>
      </c>
      <c r="G239" s="25" t="s">
        <v>2365</v>
      </c>
      <c r="H239" s="95" t="s">
        <v>1998</v>
      </c>
      <c r="I239" s="2" t="s">
        <v>1702</v>
      </c>
      <c r="J239" s="2" t="s">
        <v>2233</v>
      </c>
      <c r="K239" s="2">
        <v>20</v>
      </c>
      <c r="L239" s="2"/>
      <c r="M239" s="5">
        <v>1</v>
      </c>
      <c r="N239" s="5">
        <v>20</v>
      </c>
      <c r="O239" s="95" t="s">
        <v>2235</v>
      </c>
      <c r="P239" s="95" t="s">
        <v>2333</v>
      </c>
      <c r="Q239" s="2" t="s">
        <v>2329</v>
      </c>
      <c r="R239" s="2" t="s">
        <v>28</v>
      </c>
      <c r="S239" s="2" t="s">
        <v>2091</v>
      </c>
      <c r="T239" s="18" t="s">
        <v>191</v>
      </c>
      <c r="U239" s="18" t="s">
        <v>2366</v>
      </c>
    </row>
    <row r="240" spans="1:21" x14ac:dyDescent="0.3">
      <c r="A240" t="s">
        <v>287</v>
      </c>
      <c r="B240" s="99" t="s">
        <v>166</v>
      </c>
      <c r="C240" s="125" t="s">
        <v>2367</v>
      </c>
      <c r="D240" s="125" t="s">
        <v>2368</v>
      </c>
      <c r="E240" s="125" t="s">
        <v>2369</v>
      </c>
      <c r="F240" s="125" t="s">
        <v>2333</v>
      </c>
      <c r="G240" s="125" t="s">
        <v>2370</v>
      </c>
      <c r="H240" s="100" t="s">
        <v>2371</v>
      </c>
      <c r="I240" s="100">
        <v>30</v>
      </c>
      <c r="J240" s="125"/>
      <c r="K240" s="163">
        <v>1</v>
      </c>
      <c r="L240" s="125"/>
      <c r="M240" t="s">
        <v>2355</v>
      </c>
      <c r="N240" t="s">
        <v>2356</v>
      </c>
      <c r="O240" s="125"/>
      <c r="P240" s="125" t="s">
        <v>28</v>
      </c>
      <c r="Q240" s="125" t="s">
        <v>2321</v>
      </c>
      <c r="T240" s="315" t="s">
        <v>287</v>
      </c>
      <c r="U240" t="s">
        <v>2364</v>
      </c>
    </row>
    <row r="241" spans="1:22" x14ac:dyDescent="0.3">
      <c r="A241" t="s">
        <v>38</v>
      </c>
      <c r="B241" s="36" t="s">
        <v>2372</v>
      </c>
      <c r="C241" s="6" t="s">
        <v>2373</v>
      </c>
      <c r="D241" s="2" t="s">
        <v>2257</v>
      </c>
      <c r="E241" s="2" t="s">
        <v>2374</v>
      </c>
      <c r="F241" s="2" t="s">
        <v>1296</v>
      </c>
      <c r="G241" s="19" t="s">
        <v>2375</v>
      </c>
      <c r="H241" s="2" t="s">
        <v>2274</v>
      </c>
      <c r="I241" s="2" t="s">
        <v>1296</v>
      </c>
      <c r="J241" s="2" t="s">
        <v>2376</v>
      </c>
      <c r="K241" s="2">
        <v>5</v>
      </c>
      <c r="L241" s="2"/>
      <c r="M241" s="5">
        <v>1</v>
      </c>
      <c r="N241" s="2"/>
      <c r="O241" s="2" t="s">
        <v>2327</v>
      </c>
      <c r="P241" s="2" t="s">
        <v>2377</v>
      </c>
      <c r="Q241" s="2"/>
      <c r="R241" s="2" t="s">
        <v>28</v>
      </c>
      <c r="S241" s="2" t="s">
        <v>2355</v>
      </c>
      <c r="T241" s="315" t="s">
        <v>38</v>
      </c>
      <c r="U241" s="74" t="s">
        <v>2338</v>
      </c>
    </row>
    <row r="242" spans="1:22" x14ac:dyDescent="0.3">
      <c r="A242" t="s">
        <v>38</v>
      </c>
      <c r="B242" s="27" t="s">
        <v>2330</v>
      </c>
      <c r="C242" s="2" t="s">
        <v>2352</v>
      </c>
      <c r="D242" s="2"/>
      <c r="E242" s="2" t="s">
        <v>2378</v>
      </c>
      <c r="F242" s="2" t="s">
        <v>2193</v>
      </c>
      <c r="G242" s="2" t="s">
        <v>2379</v>
      </c>
      <c r="H242" s="2" t="s">
        <v>2356</v>
      </c>
      <c r="I242" s="2" t="s">
        <v>1296</v>
      </c>
      <c r="J242" s="2" t="s">
        <v>205</v>
      </c>
      <c r="K242" s="2">
        <v>30</v>
      </c>
      <c r="L242" s="2"/>
      <c r="M242" s="5">
        <v>1</v>
      </c>
      <c r="N242" s="2"/>
      <c r="O242" s="2" t="s">
        <v>2380</v>
      </c>
      <c r="P242" s="2" t="s">
        <v>2338</v>
      </c>
      <c r="Q242" s="2"/>
      <c r="R242" s="2" t="s">
        <v>28</v>
      </c>
      <c r="S242" s="2"/>
      <c r="T242" s="315" t="s">
        <v>38</v>
      </c>
      <c r="U242" s="74" t="s">
        <v>2381</v>
      </c>
    </row>
    <row r="243" spans="1:22" x14ac:dyDescent="0.3">
      <c r="A243" t="s">
        <v>287</v>
      </c>
      <c r="B243" s="27" t="s">
        <v>2357</v>
      </c>
      <c r="C243" s="2" t="s">
        <v>2382</v>
      </c>
      <c r="D243" s="2" t="s">
        <v>2274</v>
      </c>
      <c r="E243" s="2" t="s">
        <v>2383</v>
      </c>
      <c r="F243" s="2" t="s">
        <v>2384</v>
      </c>
      <c r="G243" s="2" t="s">
        <v>1767</v>
      </c>
      <c r="H243" s="2" t="s">
        <v>2385</v>
      </c>
      <c r="I243" s="2">
        <v>21</v>
      </c>
      <c r="J243" s="2"/>
      <c r="K243" s="5">
        <v>1</v>
      </c>
      <c r="L243" s="2"/>
      <c r="M243" s="2" t="s">
        <v>2356</v>
      </c>
      <c r="N243" s="2" t="s">
        <v>2321</v>
      </c>
      <c r="O243" s="2"/>
      <c r="P243" s="2" t="s">
        <v>28</v>
      </c>
      <c r="Q243" s="2"/>
      <c r="T243" s="315" t="s">
        <v>287</v>
      </c>
      <c r="U243" t="s">
        <v>2380</v>
      </c>
    </row>
    <row r="244" spans="1:22" x14ac:dyDescent="0.3">
      <c r="A244" t="s">
        <v>287</v>
      </c>
      <c r="B244" s="27" t="s">
        <v>2386</v>
      </c>
      <c r="C244" s="2" t="s">
        <v>2387</v>
      </c>
      <c r="D244" s="2" t="s">
        <v>2388</v>
      </c>
      <c r="E244" s="2" t="s">
        <v>2389</v>
      </c>
      <c r="F244" s="2" t="s">
        <v>2350</v>
      </c>
      <c r="G244" s="2" t="s">
        <v>1767</v>
      </c>
      <c r="H244" s="2" t="s">
        <v>760</v>
      </c>
      <c r="I244" s="2">
        <v>26.17</v>
      </c>
      <c r="J244" s="2"/>
      <c r="K244" s="5">
        <v>1</v>
      </c>
      <c r="L244" s="2"/>
      <c r="M244" s="2" t="s">
        <v>2321</v>
      </c>
      <c r="N244" s="2" t="s">
        <v>2390</v>
      </c>
      <c r="O244" s="2"/>
      <c r="P244" s="2" t="s">
        <v>28</v>
      </c>
      <c r="Q244" s="2" t="s">
        <v>2355</v>
      </c>
      <c r="T244" s="315" t="s">
        <v>287</v>
      </c>
      <c r="U244" t="s">
        <v>2380</v>
      </c>
    </row>
    <row r="245" spans="1:22" x14ac:dyDescent="0.3">
      <c r="A245" t="s">
        <v>1683</v>
      </c>
      <c r="B245" s="27" t="s">
        <v>758</v>
      </c>
      <c r="C245" s="2" t="s">
        <v>2302</v>
      </c>
      <c r="D245" s="2" t="s">
        <v>2249</v>
      </c>
      <c r="E245" s="2"/>
      <c r="F245" s="2"/>
      <c r="G245" s="2" t="s">
        <v>2391</v>
      </c>
      <c r="H245" s="2" t="s">
        <v>2327</v>
      </c>
      <c r="I245" s="2" t="s">
        <v>1767</v>
      </c>
      <c r="J245" s="2" t="s">
        <v>2392</v>
      </c>
      <c r="K245" s="2">
        <v>2</v>
      </c>
      <c r="L245" s="2"/>
      <c r="M245" s="5" t="s">
        <v>1817</v>
      </c>
      <c r="N245" s="2"/>
      <c r="O245" s="2" t="s">
        <v>2355</v>
      </c>
      <c r="P245" s="2" t="s">
        <v>2356</v>
      </c>
      <c r="Q245" s="2"/>
      <c r="R245" s="2" t="s">
        <v>121</v>
      </c>
      <c r="S245" s="2"/>
      <c r="T245" s="315" t="s">
        <v>287</v>
      </c>
      <c r="U245" s="74" t="s">
        <v>2381</v>
      </c>
    </row>
    <row r="246" spans="1:22" x14ac:dyDescent="0.3">
      <c r="A246" t="s">
        <v>38</v>
      </c>
      <c r="B246" s="27" t="s">
        <v>2209</v>
      </c>
      <c r="C246" s="25" t="s">
        <v>2393</v>
      </c>
      <c r="D246" s="25" t="s">
        <v>1898</v>
      </c>
      <c r="E246" s="25" t="s">
        <v>2394</v>
      </c>
      <c r="F246" s="25" t="s">
        <v>1232</v>
      </c>
      <c r="G246" s="419" t="s">
        <v>2395</v>
      </c>
      <c r="H246" s="4" t="s">
        <v>2091</v>
      </c>
      <c r="I246" s="25" t="s">
        <v>1232</v>
      </c>
      <c r="J246" s="2" t="s">
        <v>2178</v>
      </c>
      <c r="K246" s="2">
        <v>27</v>
      </c>
      <c r="L246" s="2"/>
      <c r="M246" s="5">
        <v>1</v>
      </c>
      <c r="N246" s="5">
        <v>40</v>
      </c>
      <c r="O246" s="112" t="s">
        <v>2262</v>
      </c>
      <c r="P246" s="19" t="s">
        <v>2350</v>
      </c>
      <c r="Q246" s="2" t="s">
        <v>2396</v>
      </c>
      <c r="R246" s="2" t="s">
        <v>28</v>
      </c>
      <c r="S246" s="2" t="s">
        <v>2169</v>
      </c>
      <c r="T246" s="18" t="s">
        <v>38</v>
      </c>
      <c r="U246" s="18" t="s">
        <v>2396</v>
      </c>
    </row>
    <row r="247" spans="1:22" ht="57.6" x14ac:dyDescent="0.3">
      <c r="A247" t="s">
        <v>38</v>
      </c>
      <c r="B247" s="27" t="s">
        <v>2316</v>
      </c>
      <c r="C247" s="6" t="s">
        <v>2397</v>
      </c>
      <c r="D247" s="2" t="s">
        <v>1969</v>
      </c>
      <c r="E247" s="416">
        <v>17374</v>
      </c>
      <c r="F247" s="2" t="s">
        <v>1904</v>
      </c>
      <c r="G247" s="27" t="s">
        <v>2398</v>
      </c>
      <c r="H247" s="95">
        <v>45448</v>
      </c>
      <c r="I247" s="2" t="s">
        <v>1904</v>
      </c>
      <c r="J247" s="2" t="s">
        <v>2319</v>
      </c>
      <c r="K247" s="2">
        <v>518.63400000000001</v>
      </c>
      <c r="L247" s="2"/>
      <c r="M247" s="5">
        <v>20</v>
      </c>
      <c r="N247" s="5">
        <v>40</v>
      </c>
      <c r="O247" s="2" t="s">
        <v>2293</v>
      </c>
      <c r="P247" s="95" t="s">
        <v>2390</v>
      </c>
      <c r="Q247" s="2" t="s">
        <v>2399</v>
      </c>
      <c r="R247" s="2" t="s">
        <v>28</v>
      </c>
      <c r="S247" s="2" t="s">
        <v>2377</v>
      </c>
      <c r="T247" s="343" t="s">
        <v>2400</v>
      </c>
      <c r="U247" s="343" t="s">
        <v>2401</v>
      </c>
    </row>
    <row r="248" spans="1:22" ht="144" x14ac:dyDescent="0.3">
      <c r="A248" t="s">
        <v>38</v>
      </c>
      <c r="B248" s="261" t="s">
        <v>2402</v>
      </c>
      <c r="C248" s="252" t="s">
        <v>2403</v>
      </c>
      <c r="D248" s="252" t="s">
        <v>2327</v>
      </c>
      <c r="E248" s="252" t="s">
        <v>2404</v>
      </c>
      <c r="F248" s="252" t="s">
        <v>1296</v>
      </c>
      <c r="G248" s="252" t="s">
        <v>2405</v>
      </c>
      <c r="H248" s="252" t="s">
        <v>2356</v>
      </c>
      <c r="I248" s="252" t="s">
        <v>1340</v>
      </c>
      <c r="J248" s="252" t="s">
        <v>2406</v>
      </c>
      <c r="K248" s="252" t="s">
        <v>2407</v>
      </c>
      <c r="L248" s="252"/>
      <c r="M248" s="252"/>
      <c r="N248" s="252"/>
      <c r="O248" s="252" t="s">
        <v>2329</v>
      </c>
      <c r="P248" s="252" t="s">
        <v>2396</v>
      </c>
      <c r="Q248" s="252"/>
      <c r="R248" s="252" t="s">
        <v>28</v>
      </c>
      <c r="S248" s="252" t="s">
        <v>2408</v>
      </c>
      <c r="T248" s="315" t="s">
        <v>38</v>
      </c>
      <c r="U248" s="303" t="s">
        <v>2409</v>
      </c>
    </row>
    <row r="249" spans="1:22" x14ac:dyDescent="0.3">
      <c r="A249" t="s">
        <v>287</v>
      </c>
      <c r="B249" s="27" t="s">
        <v>2357</v>
      </c>
      <c r="C249" s="2" t="s">
        <v>2410</v>
      </c>
      <c r="D249" s="2" t="s">
        <v>2327</v>
      </c>
      <c r="E249" s="2"/>
      <c r="F249" s="2"/>
      <c r="G249" s="219" t="s">
        <v>2411</v>
      </c>
      <c r="H249" s="2" t="s">
        <v>2390</v>
      </c>
      <c r="I249" s="2" t="s">
        <v>1767</v>
      </c>
      <c r="J249" s="2" t="s">
        <v>2385</v>
      </c>
      <c r="K249" s="2">
        <v>31.58</v>
      </c>
      <c r="L249" s="2"/>
      <c r="M249" s="5">
        <v>1</v>
      </c>
      <c r="N249" s="2"/>
      <c r="O249" s="2" t="s">
        <v>2380</v>
      </c>
      <c r="P249" s="2" t="s">
        <v>2338</v>
      </c>
      <c r="Q249" s="2"/>
      <c r="R249" s="2" t="s">
        <v>121</v>
      </c>
      <c r="S249" s="2" t="s">
        <v>2408</v>
      </c>
      <c r="T249" s="18" t="s">
        <v>287</v>
      </c>
      <c r="U249" s="18" t="s">
        <v>2408</v>
      </c>
    </row>
    <row r="250" spans="1:22" x14ac:dyDescent="0.3">
      <c r="A250" t="s">
        <v>287</v>
      </c>
      <c r="B250" s="27" t="s">
        <v>1878</v>
      </c>
      <c r="C250" s="2" t="s">
        <v>2412</v>
      </c>
      <c r="D250" s="2" t="s">
        <v>2274</v>
      </c>
      <c r="E250" s="2" t="s">
        <v>2413</v>
      </c>
      <c r="F250" s="2" t="s">
        <v>1296</v>
      </c>
      <c r="G250" s="2" t="s">
        <v>2414</v>
      </c>
      <c r="H250" s="2" t="s">
        <v>2321</v>
      </c>
      <c r="I250" s="2" t="s">
        <v>2415</v>
      </c>
      <c r="J250" s="2" t="s">
        <v>1883</v>
      </c>
      <c r="K250" s="2">
        <v>50</v>
      </c>
      <c r="L250" s="2"/>
      <c r="M250" s="2">
        <v>2</v>
      </c>
      <c r="N250" s="2"/>
      <c r="O250" s="2" t="s">
        <v>2329</v>
      </c>
      <c r="P250" s="2" t="s">
        <v>2396</v>
      </c>
      <c r="Q250" s="2"/>
      <c r="R250" s="2" t="s">
        <v>28</v>
      </c>
      <c r="S250" s="2"/>
      <c r="T250" s="315" t="s">
        <v>287</v>
      </c>
      <c r="U250" s="74" t="s">
        <v>2416</v>
      </c>
    </row>
    <row r="251" spans="1:22" x14ac:dyDescent="0.3">
      <c r="A251" t="s">
        <v>38</v>
      </c>
      <c r="B251" s="36" t="s">
        <v>2417</v>
      </c>
      <c r="C251" s="422" t="s">
        <v>2418</v>
      </c>
      <c r="D251" s="2" t="s">
        <v>2202</v>
      </c>
      <c r="E251" s="2" t="s">
        <v>2419</v>
      </c>
      <c r="F251" s="2" t="s">
        <v>2420</v>
      </c>
      <c r="G251" s="2" t="s">
        <v>2421</v>
      </c>
      <c r="H251" s="2" t="s">
        <v>2266</v>
      </c>
      <c r="I251" s="2" t="s">
        <v>2420</v>
      </c>
      <c r="J251" s="7" t="s">
        <v>2422</v>
      </c>
      <c r="K251" s="2">
        <v>7</v>
      </c>
      <c r="L251" s="2"/>
      <c r="M251" s="5">
        <v>1</v>
      </c>
      <c r="N251" s="5">
        <v>20</v>
      </c>
      <c r="O251" s="2" t="s">
        <v>2384</v>
      </c>
      <c r="P251" s="2" t="s">
        <v>2423</v>
      </c>
      <c r="Q251" s="2" t="s">
        <v>2424</v>
      </c>
      <c r="R251" s="2" t="s">
        <v>2425</v>
      </c>
      <c r="S251" s="2" t="s">
        <v>2321</v>
      </c>
      <c r="T251" s="18" t="s">
        <v>38</v>
      </c>
      <c r="U251" s="18" t="s">
        <v>2426</v>
      </c>
    </row>
    <row r="252" spans="1:22" x14ac:dyDescent="0.3">
      <c r="A252" t="s">
        <v>55</v>
      </c>
      <c r="B252" s="369" t="s">
        <v>2427</v>
      </c>
      <c r="C252" s="6" t="s">
        <v>2428</v>
      </c>
      <c r="D252" s="2" t="s">
        <v>2091</v>
      </c>
      <c r="E252" s="416" t="s">
        <v>2429</v>
      </c>
      <c r="F252" s="2" t="s">
        <v>1462</v>
      </c>
      <c r="G252" s="236">
        <v>239599029</v>
      </c>
      <c r="H252" s="19" t="s">
        <v>2091</v>
      </c>
      <c r="I252" s="2" t="s">
        <v>1462</v>
      </c>
      <c r="J252" s="2" t="s">
        <v>137</v>
      </c>
      <c r="K252" s="2">
        <v>204.7</v>
      </c>
      <c r="L252" s="2"/>
      <c r="M252" s="5">
        <v>10</v>
      </c>
      <c r="N252" s="5">
        <v>20</v>
      </c>
      <c r="O252" s="95" t="s">
        <v>2295</v>
      </c>
      <c r="P252" s="19" t="s">
        <v>2430</v>
      </c>
      <c r="Q252" s="2" t="s">
        <v>2431</v>
      </c>
      <c r="R252" s="2" t="s">
        <v>2432</v>
      </c>
      <c r="S252" s="2" t="s">
        <v>2329</v>
      </c>
      <c r="T252" s="18" t="s">
        <v>2433</v>
      </c>
      <c r="U252" s="18" t="s">
        <v>2434</v>
      </c>
    </row>
    <row r="253" spans="1:22" x14ac:dyDescent="0.3">
      <c r="A253" t="s">
        <v>38</v>
      </c>
      <c r="B253" s="27" t="s">
        <v>2435</v>
      </c>
      <c r="C253" s="2" t="s">
        <v>2436</v>
      </c>
      <c r="D253" s="2" t="s">
        <v>2038</v>
      </c>
      <c r="E253" s="6" t="s">
        <v>2437</v>
      </c>
      <c r="F253" s="6" t="s">
        <v>2438</v>
      </c>
      <c r="G253" s="25" t="s">
        <v>2439</v>
      </c>
      <c r="H253" s="2" t="s">
        <v>2066</v>
      </c>
      <c r="I253" s="2" t="s">
        <v>2440</v>
      </c>
      <c r="J253" s="2" t="s">
        <v>2441</v>
      </c>
      <c r="K253" s="2">
        <v>125.14</v>
      </c>
      <c r="L253" s="2"/>
      <c r="M253" s="5">
        <v>6</v>
      </c>
      <c r="N253" s="5">
        <v>20</v>
      </c>
      <c r="O253" s="95" t="s">
        <v>2257</v>
      </c>
      <c r="P253" s="95" t="s">
        <v>2442</v>
      </c>
      <c r="Q253" s="2" t="s">
        <v>2443</v>
      </c>
      <c r="R253" s="2" t="s">
        <v>28</v>
      </c>
      <c r="S253" s="2" t="s">
        <v>2215</v>
      </c>
      <c r="T253" s="18" t="s">
        <v>38</v>
      </c>
      <c r="U253" s="18" t="s">
        <v>2434</v>
      </c>
      <c r="V253" s="18" t="s">
        <v>2444</v>
      </c>
    </row>
    <row r="254" spans="1:22" x14ac:dyDescent="0.3">
      <c r="A254" t="s">
        <v>38</v>
      </c>
      <c r="B254" s="27" t="s">
        <v>2435</v>
      </c>
      <c r="C254" s="2" t="s">
        <v>2436</v>
      </c>
      <c r="D254" s="2" t="s">
        <v>2038</v>
      </c>
      <c r="E254" s="6" t="s">
        <v>2437</v>
      </c>
      <c r="F254" s="6" t="s">
        <v>2438</v>
      </c>
      <c r="G254" s="25" t="s">
        <v>2445</v>
      </c>
      <c r="H254" s="95">
        <v>45631</v>
      </c>
      <c r="I254" s="2" t="s">
        <v>2440</v>
      </c>
      <c r="J254" s="2" t="s">
        <v>2441</v>
      </c>
      <c r="K254" s="2">
        <v>205.4</v>
      </c>
      <c r="L254" s="2"/>
      <c r="M254" s="5">
        <v>10</v>
      </c>
      <c r="N254" s="5">
        <v>20</v>
      </c>
      <c r="O254" s="95" t="s">
        <v>2257</v>
      </c>
      <c r="P254" s="19" t="s">
        <v>2446</v>
      </c>
      <c r="Q254" s="2" t="s">
        <v>2447</v>
      </c>
      <c r="R254" s="2" t="s">
        <v>28</v>
      </c>
      <c r="S254" s="2" t="s">
        <v>2215</v>
      </c>
      <c r="T254" s="18" t="s">
        <v>38</v>
      </c>
      <c r="U254" s="18" t="s">
        <v>2448</v>
      </c>
    </row>
    <row r="255" spans="1:22" x14ac:dyDescent="0.3">
      <c r="A255" t="s">
        <v>55</v>
      </c>
      <c r="B255" s="27" t="s">
        <v>1837</v>
      </c>
      <c r="C255" s="2" t="s">
        <v>2297</v>
      </c>
      <c r="D255" s="2"/>
      <c r="F255" s="417" t="s">
        <v>2153</v>
      </c>
      <c r="G255" s="49" t="s">
        <v>2449</v>
      </c>
      <c r="H255" s="95">
        <v>45509</v>
      </c>
      <c r="I255" s="2" t="s">
        <v>1841</v>
      </c>
      <c r="J255" s="2" t="s">
        <v>2450</v>
      </c>
      <c r="K255" s="2">
        <v>2</v>
      </c>
      <c r="L255" s="2"/>
      <c r="M255" s="5" t="s">
        <v>1817</v>
      </c>
      <c r="N255" s="2"/>
      <c r="O255" s="95" t="s">
        <v>2191</v>
      </c>
      <c r="P255" s="95" t="s">
        <v>2426</v>
      </c>
      <c r="Q255" s="44" t="s">
        <v>1817</v>
      </c>
      <c r="R255" s="2" t="s">
        <v>28</v>
      </c>
      <c r="S255" s="2"/>
      <c r="T255" s="18" t="s">
        <v>55</v>
      </c>
      <c r="U255" s="74" t="s">
        <v>2447</v>
      </c>
    </row>
    <row r="256" spans="1:22" x14ac:dyDescent="0.3">
      <c r="A256" t="s">
        <v>60</v>
      </c>
      <c r="B256" s="27" t="s">
        <v>2357</v>
      </c>
      <c r="C256" s="2" t="s">
        <v>2451</v>
      </c>
      <c r="D256" s="2" t="s">
        <v>2327</v>
      </c>
      <c r="E256" s="2" t="s">
        <v>2452</v>
      </c>
      <c r="F256" s="2" t="s">
        <v>1296</v>
      </c>
      <c r="G256" s="2" t="s">
        <v>2453</v>
      </c>
      <c r="H256" s="2" t="s">
        <v>2454</v>
      </c>
      <c r="I256" s="2" t="s">
        <v>1767</v>
      </c>
      <c r="J256" s="2" t="s">
        <v>2455</v>
      </c>
      <c r="K256" s="2">
        <v>29520</v>
      </c>
      <c r="L256" s="2"/>
      <c r="M256" s="5">
        <v>1</v>
      </c>
      <c r="N256" s="2"/>
      <c r="O256" s="2" t="s">
        <v>2456</v>
      </c>
      <c r="P256" s="2" t="s">
        <v>2457</v>
      </c>
      <c r="Q256" s="2"/>
      <c r="R256" s="2" t="s">
        <v>2458</v>
      </c>
      <c r="S256" s="282"/>
      <c r="T256" s="18" t="s">
        <v>287</v>
      </c>
      <c r="U256" s="74" t="s">
        <v>2459</v>
      </c>
    </row>
    <row r="257" spans="1:21" x14ac:dyDescent="0.3">
      <c r="A257" t="s">
        <v>123</v>
      </c>
      <c r="B257" s="27" t="s">
        <v>2357</v>
      </c>
      <c r="C257" s="2" t="s">
        <v>2382</v>
      </c>
      <c r="D257" s="2" t="s">
        <v>2274</v>
      </c>
      <c r="E257" s="2" t="s">
        <v>2460</v>
      </c>
      <c r="F257" s="2" t="s">
        <v>1296</v>
      </c>
      <c r="G257" s="2" t="s">
        <v>2461</v>
      </c>
      <c r="H257" s="2" t="s">
        <v>2448</v>
      </c>
      <c r="I257" s="2" t="s">
        <v>1767</v>
      </c>
      <c r="J257" s="2" t="s">
        <v>2462</v>
      </c>
      <c r="K257" s="2">
        <v>21</v>
      </c>
      <c r="L257" s="2"/>
      <c r="M257" s="2">
        <v>1</v>
      </c>
      <c r="N257" s="2"/>
      <c r="O257" s="2" t="s">
        <v>2456</v>
      </c>
      <c r="P257" s="2" t="s">
        <v>2457</v>
      </c>
      <c r="Q257" s="2"/>
      <c r="R257" s="2" t="s">
        <v>212</v>
      </c>
      <c r="T257" s="18" t="s">
        <v>287</v>
      </c>
    </row>
    <row r="258" spans="1:21" x14ac:dyDescent="0.3">
      <c r="A258" t="s">
        <v>38</v>
      </c>
      <c r="B258" s="36" t="s">
        <v>130</v>
      </c>
      <c r="C258" s="6" t="s">
        <v>2463</v>
      </c>
      <c r="D258" s="95">
        <v>45448</v>
      </c>
      <c r="E258" s="19">
        <v>120532</v>
      </c>
      <c r="F258" s="2" t="s">
        <v>1904</v>
      </c>
      <c r="G258" s="6" t="s">
        <v>2464</v>
      </c>
      <c r="H258" s="95">
        <v>45479</v>
      </c>
      <c r="I258" s="2" t="s">
        <v>1904</v>
      </c>
      <c r="J258" s="2" t="s">
        <v>2465</v>
      </c>
      <c r="K258" s="2">
        <v>98.744</v>
      </c>
      <c r="L258" s="2"/>
      <c r="M258" s="5">
        <v>4</v>
      </c>
      <c r="N258" s="5">
        <v>20</v>
      </c>
      <c r="O258" s="2" t="s">
        <v>2380</v>
      </c>
      <c r="P258" s="95" t="s">
        <v>2399</v>
      </c>
      <c r="Q258" s="2" t="s">
        <v>2466</v>
      </c>
      <c r="R258" s="2" t="s">
        <v>28</v>
      </c>
      <c r="S258" s="2" t="s">
        <v>2423</v>
      </c>
      <c r="T258" s="18" t="s">
        <v>38</v>
      </c>
      <c r="U258" s="18" t="s">
        <v>2467</v>
      </c>
    </row>
    <row r="259" spans="1:21" ht="86.4" x14ac:dyDescent="0.3">
      <c r="A259" t="s">
        <v>38</v>
      </c>
      <c r="B259" s="27" t="s">
        <v>109</v>
      </c>
      <c r="C259" s="6" t="s">
        <v>2468</v>
      </c>
      <c r="D259" s="2" t="s">
        <v>2035</v>
      </c>
      <c r="E259" s="415">
        <v>24041501</v>
      </c>
      <c r="F259" s="6" t="s">
        <v>2123</v>
      </c>
      <c r="G259" s="25" t="s">
        <v>2469</v>
      </c>
      <c r="H259" s="2" t="s">
        <v>2109</v>
      </c>
      <c r="I259" s="2" t="s">
        <v>1759</v>
      </c>
      <c r="J259" s="2" t="s">
        <v>118</v>
      </c>
      <c r="K259" s="2">
        <v>345.46</v>
      </c>
      <c r="L259" s="2"/>
      <c r="M259" s="5">
        <v>16</v>
      </c>
      <c r="N259" s="5">
        <v>20</v>
      </c>
      <c r="O259" s="95" t="s">
        <v>2409</v>
      </c>
      <c r="P259" s="95">
        <v>45635</v>
      </c>
      <c r="Q259" s="2" t="s">
        <v>2470</v>
      </c>
      <c r="R259" s="2" t="s">
        <v>2471</v>
      </c>
      <c r="S259" s="2" t="s">
        <v>2423</v>
      </c>
      <c r="T259" s="343" t="s">
        <v>2472</v>
      </c>
      <c r="U259" s="343" t="s">
        <v>2473</v>
      </c>
    </row>
    <row r="260" spans="1:21" ht="57.6" x14ac:dyDescent="0.3">
      <c r="A260" t="s">
        <v>38</v>
      </c>
      <c r="B260" s="36" t="s">
        <v>130</v>
      </c>
      <c r="C260" s="6" t="s">
        <v>2463</v>
      </c>
      <c r="D260" s="95">
        <v>45448</v>
      </c>
      <c r="E260" s="19">
        <v>120532</v>
      </c>
      <c r="F260" s="2" t="s">
        <v>1904</v>
      </c>
      <c r="G260" s="2" t="s">
        <v>2474</v>
      </c>
      <c r="H260" s="95">
        <v>45479</v>
      </c>
      <c r="I260" s="2" t="s">
        <v>1904</v>
      </c>
      <c r="J260" s="2" t="s">
        <v>2465</v>
      </c>
      <c r="K260" s="2">
        <v>396.15300000000002</v>
      </c>
      <c r="L260" s="2"/>
      <c r="M260" s="5">
        <v>16</v>
      </c>
      <c r="N260" s="5">
        <v>20</v>
      </c>
      <c r="O260" s="95" t="s">
        <v>2356</v>
      </c>
      <c r="P260" s="2" t="s">
        <v>2459</v>
      </c>
      <c r="Q260" s="2" t="s">
        <v>2475</v>
      </c>
      <c r="R260" s="2" t="s">
        <v>28</v>
      </c>
      <c r="S260" s="2" t="s">
        <v>2215</v>
      </c>
      <c r="T260" s="343" t="s">
        <v>2476</v>
      </c>
      <c r="U260" s="343" t="s">
        <v>2477</v>
      </c>
    </row>
    <row r="261" spans="1:21" x14ac:dyDescent="0.3">
      <c r="A261" t="s">
        <v>38</v>
      </c>
      <c r="B261" s="36" t="s">
        <v>2186</v>
      </c>
      <c r="C261" s="2" t="s">
        <v>2478</v>
      </c>
      <c r="D261" s="2" t="s">
        <v>2448</v>
      </c>
      <c r="E261" s="6" t="s">
        <v>2479</v>
      </c>
      <c r="F261" s="2" t="s">
        <v>1296</v>
      </c>
      <c r="G261" s="6" t="s">
        <v>2480</v>
      </c>
      <c r="H261" s="2" t="s">
        <v>2481</v>
      </c>
      <c r="I261" s="2" t="s">
        <v>1296</v>
      </c>
      <c r="J261" s="20" t="s">
        <v>2482</v>
      </c>
      <c r="K261" s="20">
        <v>10</v>
      </c>
      <c r="L261" s="2"/>
      <c r="M261" s="5">
        <v>1</v>
      </c>
      <c r="N261" s="2"/>
      <c r="O261" s="2" t="s">
        <v>2466</v>
      </c>
      <c r="P261" s="2" t="s">
        <v>2483</v>
      </c>
      <c r="Q261" s="2" t="s">
        <v>2484</v>
      </c>
      <c r="R261" s="2" t="s">
        <v>28</v>
      </c>
      <c r="S261" s="2" t="s">
        <v>2470</v>
      </c>
      <c r="T261" s="18" t="s">
        <v>38</v>
      </c>
      <c r="U261" s="74" t="s">
        <v>2484</v>
      </c>
    </row>
    <row r="262" spans="1:21" x14ac:dyDescent="0.3">
      <c r="A262" t="s">
        <v>60</v>
      </c>
      <c r="B262" s="27" t="s">
        <v>2485</v>
      </c>
      <c r="C262" s="2" t="s">
        <v>2486</v>
      </c>
      <c r="D262" s="2" t="s">
        <v>2241</v>
      </c>
      <c r="E262" t="s">
        <v>2487</v>
      </c>
      <c r="F262" s="2" t="s">
        <v>1232</v>
      </c>
      <c r="G262" s="2" t="s">
        <v>2488</v>
      </c>
      <c r="H262" s="2" t="s">
        <v>2328</v>
      </c>
      <c r="I262" s="2" t="s">
        <v>1232</v>
      </c>
      <c r="J262" s="2" t="s">
        <v>2489</v>
      </c>
      <c r="K262" s="44" t="s">
        <v>2490</v>
      </c>
      <c r="L262" s="2"/>
      <c r="M262" s="5">
        <v>1</v>
      </c>
      <c r="N262" s="2">
        <v>40</v>
      </c>
      <c r="O262" s="2" t="s">
        <v>2409</v>
      </c>
      <c r="P262" s="2" t="s">
        <v>2466</v>
      </c>
      <c r="Q262" s="2" t="s">
        <v>2491</v>
      </c>
      <c r="R262" s="2" t="s">
        <v>28</v>
      </c>
      <c r="S262" s="252" t="s">
        <v>2466</v>
      </c>
      <c r="T262" s="282" t="s">
        <v>191</v>
      </c>
      <c r="U262" s="282" t="s">
        <v>2492</v>
      </c>
    </row>
    <row r="263" spans="1:21" ht="28.8" x14ac:dyDescent="0.3">
      <c r="A263" t="s">
        <v>38</v>
      </c>
      <c r="B263" s="36" t="s">
        <v>2493</v>
      </c>
      <c r="C263" s="6" t="s">
        <v>2494</v>
      </c>
      <c r="D263" s="2" t="s">
        <v>1943</v>
      </c>
      <c r="E263" s="415" t="s">
        <v>2495</v>
      </c>
      <c r="F263" s="2" t="s">
        <v>1462</v>
      </c>
      <c r="G263" s="2" t="s">
        <v>2496</v>
      </c>
      <c r="H263" s="19" t="s">
        <v>2497</v>
      </c>
      <c r="I263" s="2" t="s">
        <v>1462</v>
      </c>
      <c r="J263" s="20" t="s">
        <v>137</v>
      </c>
      <c r="K263" s="8">
        <v>295</v>
      </c>
      <c r="L263" s="2"/>
      <c r="M263" s="5">
        <v>15</v>
      </c>
      <c r="N263" s="5">
        <v>20</v>
      </c>
      <c r="O263" s="2" t="s">
        <v>2321</v>
      </c>
      <c r="P263" s="19" t="s">
        <v>2498</v>
      </c>
      <c r="Q263" s="2" t="s">
        <v>2499</v>
      </c>
      <c r="R263" s="2" t="s">
        <v>2500</v>
      </c>
      <c r="S263" s="2" t="s">
        <v>2329</v>
      </c>
      <c r="T263" s="343" t="s">
        <v>2501</v>
      </c>
      <c r="U263" s="343" t="s">
        <v>2502</v>
      </c>
    </row>
    <row r="264" spans="1:21" ht="72" x14ac:dyDescent="0.3">
      <c r="A264" t="s">
        <v>38</v>
      </c>
      <c r="B264" s="27" t="s">
        <v>2316</v>
      </c>
      <c r="C264" s="6" t="s">
        <v>2503</v>
      </c>
      <c r="D264" s="2" t="s">
        <v>2044</v>
      </c>
      <c r="E264" s="19">
        <v>17413</v>
      </c>
      <c r="F264" s="2" t="s">
        <v>1904</v>
      </c>
      <c r="G264" s="2" t="s">
        <v>2504</v>
      </c>
      <c r="H264" s="19" t="s">
        <v>2144</v>
      </c>
      <c r="I264" s="2" t="s">
        <v>1904</v>
      </c>
      <c r="J264" s="2" t="s">
        <v>2319</v>
      </c>
      <c r="K264" s="2">
        <v>520.80600000000004</v>
      </c>
      <c r="L264" s="2"/>
      <c r="M264" s="5">
        <v>20</v>
      </c>
      <c r="N264" s="5">
        <v>40</v>
      </c>
      <c r="O264" s="95" t="s">
        <v>2321</v>
      </c>
      <c r="P264" s="2" t="s">
        <v>2483</v>
      </c>
      <c r="Q264" s="2" t="s">
        <v>2505</v>
      </c>
      <c r="R264" s="2" t="s">
        <v>28</v>
      </c>
      <c r="S264" s="2" t="s">
        <v>2215</v>
      </c>
      <c r="T264" s="343" t="s">
        <v>2506</v>
      </c>
      <c r="U264" s="343" t="s">
        <v>2507</v>
      </c>
    </row>
    <row r="265" spans="1:21" ht="86.4" x14ac:dyDescent="0.3">
      <c r="A265" t="s">
        <v>60</v>
      </c>
      <c r="B265" s="261" t="s">
        <v>2508</v>
      </c>
      <c r="C265" s="252" t="s">
        <v>2451</v>
      </c>
      <c r="D265" s="252" t="s">
        <v>2327</v>
      </c>
      <c r="E265" s="2" t="s">
        <v>2452</v>
      </c>
      <c r="F265" s="252" t="s">
        <v>1296</v>
      </c>
      <c r="G265" s="252" t="s">
        <v>2509</v>
      </c>
      <c r="H265" s="252" t="s">
        <v>2510</v>
      </c>
      <c r="I265" s="252" t="s">
        <v>1296</v>
      </c>
      <c r="J265" s="252" t="s">
        <v>2511</v>
      </c>
      <c r="K265" s="252">
        <v>28.5</v>
      </c>
      <c r="L265" s="252"/>
      <c r="M265" s="283">
        <v>1</v>
      </c>
      <c r="N265" s="252"/>
      <c r="O265" s="252" t="s">
        <v>2512</v>
      </c>
      <c r="P265" s="252" t="s">
        <v>2513</v>
      </c>
      <c r="Q265" s="252"/>
      <c r="R265" s="252" t="s">
        <v>28</v>
      </c>
      <c r="S265" s="252" t="s">
        <v>2513</v>
      </c>
      <c r="T265" s="313" t="s">
        <v>287</v>
      </c>
      <c r="U265" s="315" t="s">
        <v>2514</v>
      </c>
    </row>
    <row r="266" spans="1:21" ht="43.2" x14ac:dyDescent="0.3">
      <c r="A266" t="s">
        <v>60</v>
      </c>
      <c r="B266" s="261" t="s">
        <v>2402</v>
      </c>
      <c r="C266" s="252" t="s">
        <v>2515</v>
      </c>
      <c r="D266" s="252" t="s">
        <v>2448</v>
      </c>
      <c r="E266" s="252" t="s">
        <v>2516</v>
      </c>
      <c r="F266" s="252" t="s">
        <v>1296</v>
      </c>
      <c r="G266" s="251">
        <v>524304622</v>
      </c>
      <c r="H266" s="252" t="s">
        <v>2517</v>
      </c>
      <c r="I266" s="252" t="s">
        <v>1390</v>
      </c>
      <c r="J266" s="252" t="s">
        <v>1768</v>
      </c>
      <c r="K266" s="252">
        <v>5</v>
      </c>
      <c r="L266" s="252"/>
      <c r="M266" s="283">
        <v>1</v>
      </c>
      <c r="N266" s="252"/>
      <c r="O266" s="252" t="s">
        <v>2470</v>
      </c>
      <c r="P266" s="252" t="s">
        <v>2484</v>
      </c>
      <c r="Q266" s="252"/>
      <c r="R266" s="252" t="s">
        <v>121</v>
      </c>
      <c r="S266" s="252" t="s">
        <v>2518</v>
      </c>
      <c r="T266" s="313" t="s">
        <v>38</v>
      </c>
      <c r="U266" s="315" t="s">
        <v>2475</v>
      </c>
    </row>
    <row r="267" spans="1:21" ht="28.8" x14ac:dyDescent="0.3">
      <c r="A267" t="s">
        <v>60</v>
      </c>
      <c r="B267" s="261" t="s">
        <v>2519</v>
      </c>
      <c r="C267" s="252" t="s">
        <v>2520</v>
      </c>
      <c r="D267" s="252"/>
      <c r="E267" s="252" t="s">
        <v>2521</v>
      </c>
      <c r="F267" s="252" t="s">
        <v>1296</v>
      </c>
      <c r="G267" s="252" t="s">
        <v>2522</v>
      </c>
      <c r="H267" s="252" t="s">
        <v>2498</v>
      </c>
      <c r="I267" s="252" t="s">
        <v>1296</v>
      </c>
      <c r="J267" s="252" t="s">
        <v>209</v>
      </c>
      <c r="K267" s="252">
        <v>140422</v>
      </c>
      <c r="L267" s="252"/>
      <c r="M267" s="283">
        <v>1</v>
      </c>
      <c r="N267" s="252"/>
      <c r="O267" s="252" t="s">
        <v>2512</v>
      </c>
      <c r="P267" s="252" t="s">
        <v>2523</v>
      </c>
      <c r="Q267" s="252"/>
      <c r="R267" s="252" t="s">
        <v>121</v>
      </c>
      <c r="S267" s="252" t="s">
        <v>2513</v>
      </c>
      <c r="T267" s="313" t="s">
        <v>191</v>
      </c>
      <c r="U267" s="315" t="s">
        <v>2514</v>
      </c>
    </row>
    <row r="268" spans="1:21" x14ac:dyDescent="0.3">
      <c r="B268" s="36" t="s">
        <v>2524</v>
      </c>
      <c r="C268" s="6" t="s">
        <v>2525</v>
      </c>
      <c r="D268" s="2" t="s">
        <v>2275</v>
      </c>
      <c r="E268" s="6">
        <v>6001464684</v>
      </c>
      <c r="F268" s="2" t="s">
        <v>1232</v>
      </c>
      <c r="G268" s="2" t="s">
        <v>2526</v>
      </c>
      <c r="H268" s="2" t="s">
        <v>2527</v>
      </c>
      <c r="I268" s="2" t="s">
        <v>1318</v>
      </c>
      <c r="J268" s="20" t="s">
        <v>2528</v>
      </c>
      <c r="K268" s="20">
        <v>2.5</v>
      </c>
      <c r="L268" s="2"/>
      <c r="M268" s="5">
        <v>1</v>
      </c>
      <c r="N268" s="5">
        <v>20</v>
      </c>
      <c r="O268" s="2" t="s">
        <v>2517</v>
      </c>
      <c r="P268" s="2" t="s">
        <v>2510</v>
      </c>
      <c r="Q268" s="2" t="s">
        <v>2475</v>
      </c>
      <c r="R268" s="2" t="s">
        <v>28</v>
      </c>
      <c r="S268" s="2" t="s">
        <v>2523</v>
      </c>
      <c r="T268" s="18" t="s">
        <v>38</v>
      </c>
      <c r="U268" s="18" t="s">
        <v>2475</v>
      </c>
    </row>
    <row r="269" spans="1:21" x14ac:dyDescent="0.3">
      <c r="A269" t="s">
        <v>38</v>
      </c>
      <c r="B269" s="428" t="s">
        <v>2157</v>
      </c>
      <c r="C269" s="431">
        <v>60</v>
      </c>
      <c r="D269" s="426" t="s">
        <v>2159</v>
      </c>
      <c r="E269" s="429">
        <v>36.58</v>
      </c>
      <c r="F269" s="427" t="s">
        <v>1186</v>
      </c>
      <c r="G269" s="430">
        <v>1066811</v>
      </c>
      <c r="H269" s="2">
        <v>23.77</v>
      </c>
      <c r="I269" s="2" t="s">
        <v>2518</v>
      </c>
      <c r="J269" s="325">
        <f>E269-H269</f>
        <v>12.809999999999999</v>
      </c>
      <c r="K269" s="2" t="s">
        <v>2529</v>
      </c>
      <c r="L269" s="433" t="s">
        <v>2530</v>
      </c>
      <c r="M269" s="18" t="s">
        <v>2531</v>
      </c>
    </row>
    <row r="270" spans="1:21" x14ac:dyDescent="0.3">
      <c r="A270" t="s">
        <v>38</v>
      </c>
      <c r="B270" s="27" t="s">
        <v>1837</v>
      </c>
      <c r="C270" s="2" t="s">
        <v>1838</v>
      </c>
      <c r="D270" s="2"/>
      <c r="E270" s="2">
        <v>24020575.100000001</v>
      </c>
      <c r="F270" s="2" t="s">
        <v>1841</v>
      </c>
      <c r="G270" s="2" t="s">
        <v>2532</v>
      </c>
      <c r="H270" s="2" t="s">
        <v>2457</v>
      </c>
      <c r="I270" s="2" t="s">
        <v>1841</v>
      </c>
      <c r="J270" s="2" t="s">
        <v>2533</v>
      </c>
      <c r="K270" s="2">
        <v>1</v>
      </c>
      <c r="L270" s="2"/>
      <c r="M270" s="2"/>
      <c r="N270" s="2"/>
      <c r="O270" s="2" t="s">
        <v>2484</v>
      </c>
      <c r="P270" s="2" t="s">
        <v>2534</v>
      </c>
      <c r="Q270" s="2"/>
      <c r="R270" s="2" t="s">
        <v>121</v>
      </c>
      <c r="S270" s="2" t="s">
        <v>2484</v>
      </c>
      <c r="T270" s="315" t="s">
        <v>38</v>
      </c>
      <c r="U270" s="315" t="s">
        <v>2535</v>
      </c>
    </row>
    <row r="271" spans="1:21" x14ac:dyDescent="0.3">
      <c r="A271" t="s">
        <v>38</v>
      </c>
      <c r="B271" s="27" t="s">
        <v>864</v>
      </c>
      <c r="C271" s="2" t="s">
        <v>2536</v>
      </c>
      <c r="D271" s="2"/>
      <c r="E271" s="2" t="s">
        <v>2537</v>
      </c>
      <c r="F271" s="2" t="s">
        <v>2416</v>
      </c>
      <c r="G271" s="2" t="s">
        <v>2538</v>
      </c>
      <c r="H271" s="2" t="s">
        <v>2513</v>
      </c>
      <c r="I271" s="2" t="s">
        <v>2539</v>
      </c>
      <c r="J271" s="2" t="s">
        <v>2540</v>
      </c>
      <c r="K271" s="2">
        <v>66</v>
      </c>
      <c r="L271" s="2"/>
      <c r="M271" s="5">
        <v>2</v>
      </c>
      <c r="N271" s="2"/>
      <c r="O271" s="2" t="s">
        <v>2499</v>
      </c>
      <c r="P271" s="2" t="s">
        <v>2541</v>
      </c>
      <c r="Q271" s="2"/>
      <c r="R271" s="2" t="s">
        <v>28</v>
      </c>
      <c r="S271" s="2" t="s">
        <v>2499</v>
      </c>
      <c r="T271" s="315" t="s">
        <v>38</v>
      </c>
      <c r="U271" s="315" t="s">
        <v>2542</v>
      </c>
    </row>
    <row r="272" spans="1:21" x14ac:dyDescent="0.3">
      <c r="A272" t="s">
        <v>38</v>
      </c>
      <c r="B272" s="27" t="s">
        <v>2543</v>
      </c>
      <c r="C272" s="2" t="s">
        <v>2544</v>
      </c>
      <c r="D272" s="2"/>
      <c r="E272" s="2" t="s">
        <v>2545</v>
      </c>
      <c r="F272" s="2" t="s">
        <v>2327</v>
      </c>
      <c r="G272" s="19" t="s">
        <v>2546</v>
      </c>
      <c r="H272" s="2" t="s">
        <v>2475</v>
      </c>
      <c r="I272" s="2" t="s">
        <v>1767</v>
      </c>
      <c r="J272" s="432" t="s">
        <v>2547</v>
      </c>
      <c r="K272" s="2">
        <v>30</v>
      </c>
      <c r="L272" s="2"/>
      <c r="M272" s="5">
        <v>1</v>
      </c>
      <c r="N272" s="2"/>
      <c r="O272" s="2" t="s">
        <v>2548</v>
      </c>
      <c r="P272" s="2" t="s">
        <v>2542</v>
      </c>
      <c r="Q272" s="2"/>
      <c r="R272" s="2" t="s">
        <v>28</v>
      </c>
      <c r="S272" s="2"/>
      <c r="T272" s="315" t="s">
        <v>38</v>
      </c>
      <c r="U272" s="315" t="s">
        <v>2549</v>
      </c>
    </row>
    <row r="273" spans="1:21" ht="28.8" x14ac:dyDescent="0.3">
      <c r="A273" t="s">
        <v>60</v>
      </c>
      <c r="B273" s="261" t="s">
        <v>1405</v>
      </c>
      <c r="C273" s="252" t="s">
        <v>2550</v>
      </c>
      <c r="D273" s="252" t="s">
        <v>2448</v>
      </c>
      <c r="E273" s="8">
        <v>6999202323</v>
      </c>
      <c r="F273" s="252" t="s">
        <v>1296</v>
      </c>
      <c r="G273" s="252" t="s">
        <v>2551</v>
      </c>
      <c r="H273" s="252" t="s">
        <v>2491</v>
      </c>
      <c r="I273" s="252" t="s">
        <v>1296</v>
      </c>
      <c r="J273" s="252" t="s">
        <v>2552</v>
      </c>
      <c r="K273" s="252">
        <v>5</v>
      </c>
      <c r="L273" s="252">
        <v>195</v>
      </c>
      <c r="M273" s="283">
        <v>1</v>
      </c>
      <c r="N273" s="252"/>
      <c r="O273" s="252" t="s">
        <v>2549</v>
      </c>
      <c r="P273" s="252" t="s">
        <v>2549</v>
      </c>
      <c r="Q273" s="252"/>
      <c r="R273" s="252" t="s">
        <v>28</v>
      </c>
      <c r="S273" s="252" t="s">
        <v>2553</v>
      </c>
      <c r="T273" s="315" t="s">
        <v>38</v>
      </c>
      <c r="U273" s="315" t="s">
        <v>2554</v>
      </c>
    </row>
    <row r="274" spans="1:21" ht="57.6" x14ac:dyDescent="0.3">
      <c r="A274" t="s">
        <v>38</v>
      </c>
      <c r="B274" s="27" t="s">
        <v>2555</v>
      </c>
      <c r="C274" s="2" t="s">
        <v>2556</v>
      </c>
      <c r="D274" s="2" t="s">
        <v>2456</v>
      </c>
      <c r="E274" s="2" t="s">
        <v>2557</v>
      </c>
      <c r="F274" s="2" t="s">
        <v>2396</v>
      </c>
      <c r="G274" s="2" t="s">
        <v>2558</v>
      </c>
      <c r="H274" s="2" t="s">
        <v>2548</v>
      </c>
      <c r="I274" s="2" t="s">
        <v>1296</v>
      </c>
      <c r="J274" s="266" t="s">
        <v>2559</v>
      </c>
      <c r="K274" s="266" t="s">
        <v>2560</v>
      </c>
      <c r="L274" s="2" t="s">
        <v>2561</v>
      </c>
      <c r="M274" s="5">
        <v>1</v>
      </c>
      <c r="N274" s="2"/>
      <c r="O274" s="2" t="s">
        <v>2562</v>
      </c>
      <c r="P274" s="2" t="s">
        <v>2563</v>
      </c>
      <c r="Q274" s="2"/>
      <c r="R274" s="2" t="s">
        <v>28</v>
      </c>
      <c r="S274" s="2" t="s">
        <v>2553</v>
      </c>
      <c r="T274" s="315" t="s">
        <v>38</v>
      </c>
      <c r="U274" s="315" t="s">
        <v>2564</v>
      </c>
    </row>
    <row r="275" spans="1:21" x14ac:dyDescent="0.3">
      <c r="A275" t="s">
        <v>38</v>
      </c>
      <c r="B275" s="27" t="s">
        <v>2565</v>
      </c>
      <c r="C275" s="2" t="s">
        <v>2566</v>
      </c>
      <c r="D275" s="2" t="s">
        <v>2456</v>
      </c>
      <c r="E275" s="2" t="s">
        <v>2567</v>
      </c>
      <c r="F275" s="2" t="s">
        <v>1296</v>
      </c>
      <c r="G275" s="2" t="s">
        <v>2568</v>
      </c>
      <c r="H275" s="2" t="s">
        <v>2499</v>
      </c>
      <c r="I275" s="2" t="s">
        <v>1296</v>
      </c>
      <c r="J275" s="2" t="s">
        <v>2569</v>
      </c>
      <c r="K275" s="2">
        <v>10</v>
      </c>
      <c r="L275" s="2" t="s">
        <v>2570</v>
      </c>
      <c r="M275" s="5">
        <v>1</v>
      </c>
      <c r="N275" s="5">
        <v>20</v>
      </c>
      <c r="O275" s="2" t="s">
        <v>2549</v>
      </c>
      <c r="P275" s="2" t="s">
        <v>2553</v>
      </c>
      <c r="Q275" s="2"/>
      <c r="R275" s="2" t="s">
        <v>28</v>
      </c>
      <c r="S275" s="2" t="s">
        <v>2553</v>
      </c>
      <c r="T275" s="315" t="s">
        <v>38</v>
      </c>
      <c r="U275" s="315" t="s">
        <v>2564</v>
      </c>
    </row>
    <row r="276" spans="1:21" ht="57.6" x14ac:dyDescent="0.3">
      <c r="A276" t="s">
        <v>38</v>
      </c>
      <c r="B276" s="36" t="s">
        <v>1493</v>
      </c>
      <c r="C276" s="6" t="s">
        <v>1494</v>
      </c>
      <c r="D276" s="2"/>
      <c r="E276" s="2" t="s">
        <v>2571</v>
      </c>
      <c r="F276" s="2" t="s">
        <v>1296</v>
      </c>
      <c r="G276" s="2" t="s">
        <v>2572</v>
      </c>
      <c r="H276" s="2" t="s">
        <v>2447</v>
      </c>
      <c r="I276" s="2" t="s">
        <v>1296</v>
      </c>
      <c r="J276" s="266" t="s">
        <v>2573</v>
      </c>
      <c r="K276" s="244" t="s">
        <v>2574</v>
      </c>
      <c r="L276" s="266" t="s">
        <v>2575</v>
      </c>
      <c r="M276" s="5">
        <v>1</v>
      </c>
      <c r="N276" s="2"/>
      <c r="O276" s="2" t="s">
        <v>2470</v>
      </c>
      <c r="P276" s="2"/>
      <c r="Q276" s="2"/>
      <c r="R276" s="2" t="s">
        <v>28</v>
      </c>
      <c r="S276" s="2"/>
      <c r="T276" s="315" t="s">
        <v>38</v>
      </c>
      <c r="U276" s="315" t="s">
        <v>2564</v>
      </c>
    </row>
    <row r="277" spans="1:21" ht="158.4" x14ac:dyDescent="0.3">
      <c r="A277" t="s">
        <v>55</v>
      </c>
      <c r="B277" s="261" t="s">
        <v>1237</v>
      </c>
      <c r="C277" s="252" t="s">
        <v>2576</v>
      </c>
      <c r="D277" s="252" t="s">
        <v>2333</v>
      </c>
      <c r="E277" s="252" t="s">
        <v>2577</v>
      </c>
      <c r="F277" s="252" t="s">
        <v>1232</v>
      </c>
      <c r="G277" s="251">
        <v>243638049</v>
      </c>
      <c r="H277" s="252" t="s">
        <v>2446</v>
      </c>
      <c r="I277" s="252" t="s">
        <v>2578</v>
      </c>
      <c r="J277" s="252" t="s">
        <v>2579</v>
      </c>
      <c r="K277" s="300" t="s">
        <v>2580</v>
      </c>
      <c r="L277" s="252"/>
      <c r="M277" s="283">
        <v>1</v>
      </c>
      <c r="N277" s="252">
        <v>20</v>
      </c>
      <c r="O277" s="252" t="s">
        <v>2512</v>
      </c>
      <c r="P277" s="252" t="s">
        <v>2548</v>
      </c>
      <c r="Q277" s="252" t="s">
        <v>2581</v>
      </c>
      <c r="R277" s="252" t="s">
        <v>28</v>
      </c>
      <c r="S277" s="252" t="s">
        <v>2582</v>
      </c>
      <c r="T277" s="282" t="s">
        <v>55</v>
      </c>
      <c r="U277" s="282" t="s">
        <v>2581</v>
      </c>
    </row>
    <row r="278" spans="1:21" x14ac:dyDescent="0.3">
      <c r="A278" t="s">
        <v>55</v>
      </c>
      <c r="B278" s="27" t="s">
        <v>2583</v>
      </c>
      <c r="C278" s="2" t="s">
        <v>2584</v>
      </c>
      <c r="D278" s="2" t="s">
        <v>2585</v>
      </c>
      <c r="E278" s="2" t="s">
        <v>2586</v>
      </c>
      <c r="F278" s="2" t="s">
        <v>2416</v>
      </c>
      <c r="G278" s="19" t="s">
        <v>2587</v>
      </c>
      <c r="H278" s="2" t="s">
        <v>2512</v>
      </c>
      <c r="I278" s="2" t="s">
        <v>2588</v>
      </c>
      <c r="J278" s="432" t="s">
        <v>2589</v>
      </c>
      <c r="K278" s="2">
        <v>5</v>
      </c>
      <c r="L278" s="2" t="s">
        <v>2590</v>
      </c>
      <c r="M278" s="5">
        <v>1</v>
      </c>
      <c r="N278" s="2"/>
      <c r="O278" s="2" t="s">
        <v>2499</v>
      </c>
      <c r="P278" s="2" t="s">
        <v>2542</v>
      </c>
      <c r="Q278" s="2" t="s">
        <v>2581</v>
      </c>
      <c r="R278" s="2" t="s">
        <v>28</v>
      </c>
      <c r="S278" s="2"/>
      <c r="T278" s="315" t="s">
        <v>55</v>
      </c>
      <c r="U278" s="315" t="s">
        <v>2554</v>
      </c>
    </row>
    <row r="279" spans="1:21" x14ac:dyDescent="0.3">
      <c r="A279" t="s">
        <v>38</v>
      </c>
      <c r="B279" s="27" t="s">
        <v>2591</v>
      </c>
      <c r="C279" s="51" t="s">
        <v>2592</v>
      </c>
      <c r="D279" s="2"/>
      <c r="E279" s="424">
        <v>6001484825</v>
      </c>
      <c r="F279" s="2" t="s">
        <v>1318</v>
      </c>
      <c r="G279" s="2" t="s">
        <v>2593</v>
      </c>
      <c r="H279" s="2" t="s">
        <v>2512</v>
      </c>
      <c r="I279" s="2" t="s">
        <v>1318</v>
      </c>
      <c r="J279" s="2" t="s">
        <v>2594</v>
      </c>
      <c r="K279" s="2">
        <v>20</v>
      </c>
      <c r="L279" s="2" t="s">
        <v>2595</v>
      </c>
      <c r="M279" s="5">
        <v>1</v>
      </c>
      <c r="N279" s="5">
        <v>20</v>
      </c>
      <c r="O279" s="2" t="s">
        <v>2514</v>
      </c>
      <c r="P279" s="2" t="s">
        <v>2564</v>
      </c>
      <c r="Q279" s="2" t="s">
        <v>2596</v>
      </c>
      <c r="R279" s="2" t="s">
        <v>28</v>
      </c>
      <c r="S279" s="2" t="s">
        <v>2541</v>
      </c>
      <c r="T279" s="315" t="s">
        <v>38</v>
      </c>
      <c r="U279" s="315" t="s">
        <v>2597</v>
      </c>
    </row>
    <row r="280" spans="1:21" ht="28.8" x14ac:dyDescent="0.3">
      <c r="A280" t="s">
        <v>38</v>
      </c>
      <c r="B280" s="374" t="s">
        <v>109</v>
      </c>
      <c r="C280" s="399" t="s">
        <v>2598</v>
      </c>
      <c r="D280" s="125" t="s">
        <v>2377</v>
      </c>
      <c r="E280" s="370">
        <v>24072601</v>
      </c>
      <c r="F280" s="125" t="s">
        <v>1272</v>
      </c>
      <c r="G280" s="125" t="s">
        <v>2599</v>
      </c>
      <c r="H280" s="375" t="s">
        <v>2333</v>
      </c>
      <c r="I280" s="375" t="s">
        <v>1272</v>
      </c>
      <c r="J280" s="375" t="s">
        <v>2600</v>
      </c>
      <c r="K280" s="375">
        <v>125</v>
      </c>
      <c r="L280" s="125"/>
      <c r="M280" s="404">
        <v>5</v>
      </c>
      <c r="N280" s="404">
        <v>20</v>
      </c>
      <c r="O280" s="125" t="s">
        <v>2338</v>
      </c>
      <c r="P280" s="125" t="s">
        <v>2447</v>
      </c>
      <c r="Q280" s="125" t="s">
        <v>2498</v>
      </c>
      <c r="R280" s="125" t="s">
        <v>28</v>
      </c>
      <c r="S280" s="125" t="s">
        <v>2527</v>
      </c>
      <c r="T280" s="437" t="s">
        <v>2601</v>
      </c>
      <c r="U280" s="313" t="s">
        <v>2602</v>
      </c>
    </row>
    <row r="281" spans="1:21" ht="28.8" x14ac:dyDescent="0.3">
      <c r="A281" t="s">
        <v>38</v>
      </c>
      <c r="B281" s="261" t="s">
        <v>109</v>
      </c>
      <c r="C281" s="37" t="s">
        <v>2603</v>
      </c>
      <c r="D281" s="2" t="s">
        <v>2377</v>
      </c>
      <c r="E281" s="19">
        <v>24072901</v>
      </c>
      <c r="F281" s="2" t="s">
        <v>1272</v>
      </c>
      <c r="G281" s="2" t="s">
        <v>2604</v>
      </c>
      <c r="H281" s="252" t="s">
        <v>2333</v>
      </c>
      <c r="I281" s="252" t="s">
        <v>1272</v>
      </c>
      <c r="J281" s="252" t="s">
        <v>2600</v>
      </c>
      <c r="K281" s="252">
        <v>125</v>
      </c>
      <c r="L281" s="2"/>
      <c r="M281" s="283">
        <v>5</v>
      </c>
      <c r="N281" s="283">
        <v>20</v>
      </c>
      <c r="O281" s="2" t="s">
        <v>2338</v>
      </c>
      <c r="P281" s="2" t="s">
        <v>2447</v>
      </c>
      <c r="Q281" s="2" t="s">
        <v>2498</v>
      </c>
      <c r="R281" s="2" t="s">
        <v>28</v>
      </c>
      <c r="S281" s="2" t="s">
        <v>2457</v>
      </c>
      <c r="T281" s="437" t="s">
        <v>2601</v>
      </c>
      <c r="U281" s="313" t="s">
        <v>2602</v>
      </c>
    </row>
    <row r="282" spans="1:21" x14ac:dyDescent="0.3">
      <c r="A282" t="s">
        <v>38</v>
      </c>
      <c r="B282" s="36" t="s">
        <v>2605</v>
      </c>
      <c r="C282" s="2" t="s">
        <v>2606</v>
      </c>
      <c r="D282" s="2" t="s">
        <v>2518</v>
      </c>
      <c r="E282" s="2" t="s">
        <v>2607</v>
      </c>
      <c r="F282" s="2" t="s">
        <v>1296</v>
      </c>
      <c r="G282" s="19" t="s">
        <v>2608</v>
      </c>
      <c r="H282" s="2" t="s">
        <v>2563</v>
      </c>
      <c r="I282" s="2" t="s">
        <v>1296</v>
      </c>
      <c r="J282" s="20" t="s">
        <v>2609</v>
      </c>
      <c r="K282" s="20">
        <v>41.94</v>
      </c>
      <c r="L282" s="435" t="s">
        <v>2610</v>
      </c>
      <c r="M282" s="5">
        <v>1</v>
      </c>
      <c r="N282" s="2"/>
      <c r="O282" s="2" t="s">
        <v>2611</v>
      </c>
      <c r="P282" s="2" t="s">
        <v>2612</v>
      </c>
      <c r="Q282" s="2">
        <v>3</v>
      </c>
      <c r="R282" s="2" t="s">
        <v>121</v>
      </c>
      <c r="S282" s="2"/>
      <c r="T282" s="18" t="s">
        <v>38</v>
      </c>
      <c r="U282" s="315" t="s">
        <v>2612</v>
      </c>
    </row>
    <row r="283" spans="1:21" ht="86.4" x14ac:dyDescent="0.3">
      <c r="A283" t="s">
        <v>60</v>
      </c>
      <c r="B283" s="261" t="s">
        <v>2508</v>
      </c>
      <c r="C283" s="252" t="s">
        <v>2451</v>
      </c>
      <c r="D283" s="252" t="s">
        <v>2327</v>
      </c>
      <c r="E283" s="2" t="s">
        <v>2452</v>
      </c>
      <c r="F283" s="252" t="s">
        <v>1296</v>
      </c>
      <c r="G283" s="252" t="s">
        <v>2613</v>
      </c>
      <c r="H283" s="252" t="s">
        <v>2614</v>
      </c>
      <c r="I283" s="252" t="s">
        <v>1296</v>
      </c>
      <c r="J283" s="252" t="s">
        <v>2511</v>
      </c>
      <c r="K283" s="252">
        <v>28.16</v>
      </c>
      <c r="L283" s="252"/>
      <c r="M283" s="283">
        <v>1</v>
      </c>
      <c r="N283" s="252"/>
      <c r="O283" s="252" t="s">
        <v>2612</v>
      </c>
      <c r="P283" s="252" t="s">
        <v>2615</v>
      </c>
      <c r="Q283" s="252"/>
      <c r="R283" s="252" t="s">
        <v>28</v>
      </c>
      <c r="S283" s="252" t="s">
        <v>2615</v>
      </c>
      <c r="T283" s="313" t="s">
        <v>287</v>
      </c>
      <c r="U283" s="315" t="s">
        <v>2616</v>
      </c>
    </row>
    <row r="284" spans="1:21" x14ac:dyDescent="0.3">
      <c r="A284" t="s">
        <v>38</v>
      </c>
      <c r="B284" s="27" t="s">
        <v>2617</v>
      </c>
      <c r="C284" s="2" t="s">
        <v>2618</v>
      </c>
      <c r="D284" s="2" t="s">
        <v>2448</v>
      </c>
      <c r="E284" s="2" t="s">
        <v>2619</v>
      </c>
      <c r="F284" s="2" t="s">
        <v>1232</v>
      </c>
      <c r="G284" s="439" t="s">
        <v>2620</v>
      </c>
      <c r="H284" s="2" t="s">
        <v>2459</v>
      </c>
      <c r="I284" s="2" t="s">
        <v>1435</v>
      </c>
      <c r="J284" s="2" t="s">
        <v>2621</v>
      </c>
      <c r="K284" s="2">
        <v>27</v>
      </c>
      <c r="L284" s="2" t="s">
        <v>2622</v>
      </c>
      <c r="M284" s="5">
        <v>1</v>
      </c>
      <c r="N284" s="5">
        <v>40</v>
      </c>
      <c r="O284" s="2" t="s">
        <v>2505</v>
      </c>
      <c r="P284" s="2" t="s">
        <v>2623</v>
      </c>
      <c r="Q284" s="2" t="s">
        <v>2624</v>
      </c>
      <c r="R284" s="2" t="s">
        <v>28</v>
      </c>
      <c r="S284" s="2" t="s">
        <v>2541</v>
      </c>
      <c r="T284" s="18" t="s">
        <v>38</v>
      </c>
      <c r="U284" s="18" t="s">
        <v>2625</v>
      </c>
    </row>
    <row r="285" spans="1:21" x14ac:dyDescent="0.3">
      <c r="A285" t="s">
        <v>38</v>
      </c>
      <c r="B285" s="36" t="s">
        <v>2591</v>
      </c>
      <c r="C285" s="51" t="s">
        <v>2626</v>
      </c>
      <c r="D285" s="2" t="s">
        <v>2498</v>
      </c>
      <c r="E285" s="438">
        <v>6001488008</v>
      </c>
      <c r="F285" s="2" t="s">
        <v>1318</v>
      </c>
      <c r="G285" s="2" t="s">
        <v>2627</v>
      </c>
      <c r="H285" s="2" t="s">
        <v>2505</v>
      </c>
      <c r="I285" s="2" t="s">
        <v>1318</v>
      </c>
      <c r="J285" s="20" t="s">
        <v>2594</v>
      </c>
      <c r="K285" s="20">
        <v>20</v>
      </c>
      <c r="L285" s="435" t="s">
        <v>2628</v>
      </c>
      <c r="M285" s="5">
        <v>1</v>
      </c>
      <c r="N285" s="5">
        <v>20</v>
      </c>
      <c r="O285" s="2" t="s">
        <v>2629</v>
      </c>
      <c r="P285" s="2" t="s">
        <v>2630</v>
      </c>
      <c r="Q285" s="2" t="s">
        <v>2631</v>
      </c>
      <c r="R285" s="2" t="s">
        <v>28</v>
      </c>
      <c r="S285" s="2" t="s">
        <v>2581</v>
      </c>
      <c r="T285" s="18" t="s">
        <v>38</v>
      </c>
      <c r="U285" s="18" t="s">
        <v>2625</v>
      </c>
    </row>
    <row r="286" spans="1:21" x14ac:dyDescent="0.3">
      <c r="A286" t="s">
        <v>123</v>
      </c>
      <c r="B286" t="s">
        <v>2632</v>
      </c>
      <c r="C286" s="18" t="s">
        <v>2633</v>
      </c>
      <c r="D286" s="18" t="s">
        <v>2581</v>
      </c>
      <c r="E286" s="18" t="s">
        <v>2634</v>
      </c>
      <c r="F286" s="18" t="s">
        <v>1296</v>
      </c>
      <c r="G286" s="81" t="s">
        <v>2635</v>
      </c>
      <c r="I286" s="18" t="s">
        <v>1296</v>
      </c>
      <c r="J286" s="18" t="s">
        <v>2636</v>
      </c>
      <c r="K286">
        <v>63.5</v>
      </c>
      <c r="M286" s="142">
        <v>3</v>
      </c>
      <c r="P286" s="18" t="s">
        <v>2624</v>
      </c>
      <c r="Q286" s="18" t="s">
        <v>2637</v>
      </c>
      <c r="R286" s="18" t="s">
        <v>121</v>
      </c>
      <c r="T286" s="74" t="s">
        <v>49</v>
      </c>
      <c r="U286" s="315" t="s">
        <v>2637</v>
      </c>
    </row>
    <row r="287" spans="1:21" x14ac:dyDescent="0.3">
      <c r="A287" t="s">
        <v>287</v>
      </c>
      <c r="B287" s="2" t="s">
        <v>2638</v>
      </c>
      <c r="C287" s="2" t="s">
        <v>2639</v>
      </c>
      <c r="D287" s="2" t="s">
        <v>2581</v>
      </c>
      <c r="E287" s="2"/>
      <c r="F287" s="2"/>
      <c r="G287" s="2" t="s">
        <v>2640</v>
      </c>
      <c r="H287" s="2" t="s">
        <v>2597</v>
      </c>
      <c r="I287" s="2" t="s">
        <v>1296</v>
      </c>
      <c r="J287" s="2" t="s">
        <v>1883</v>
      </c>
      <c r="K287" s="2">
        <v>50</v>
      </c>
      <c r="L287" s="2"/>
      <c r="M287" s="2">
        <v>2</v>
      </c>
      <c r="N287" s="2"/>
      <c r="O287" s="2" t="s">
        <v>2616</v>
      </c>
      <c r="P287" s="2" t="s">
        <v>2641</v>
      </c>
      <c r="Q287" s="2"/>
      <c r="R287" s="2" t="s">
        <v>28</v>
      </c>
      <c r="S287" s="2"/>
      <c r="T287" s="74" t="s">
        <v>287</v>
      </c>
      <c r="U287" s="315" t="s">
        <v>2642</v>
      </c>
    </row>
    <row r="288" spans="1:21" x14ac:dyDescent="0.3">
      <c r="A288" t="s">
        <v>287</v>
      </c>
      <c r="B288" s="2" t="s">
        <v>758</v>
      </c>
      <c r="C288" s="2" t="s">
        <v>2643</v>
      </c>
      <c r="D288" s="2" t="s">
        <v>2614</v>
      </c>
      <c r="E288" s="2" t="s">
        <v>2644</v>
      </c>
      <c r="F288" s="2" t="s">
        <v>1296</v>
      </c>
      <c r="G288" s="2" t="s">
        <v>2645</v>
      </c>
      <c r="H288" s="2" t="s">
        <v>2646</v>
      </c>
      <c r="I288" s="2" t="s">
        <v>1296</v>
      </c>
      <c r="J288" s="2" t="s">
        <v>2647</v>
      </c>
      <c r="K288" s="2">
        <v>28.88</v>
      </c>
      <c r="L288" s="2" t="s">
        <v>2648</v>
      </c>
      <c r="M288" s="2">
        <v>1</v>
      </c>
      <c r="N288" s="2"/>
      <c r="O288" s="2" t="s">
        <v>2649</v>
      </c>
      <c r="P288" s="2" t="s">
        <v>2650</v>
      </c>
      <c r="Q288" s="2"/>
      <c r="R288" s="2" t="s">
        <v>28</v>
      </c>
      <c r="S288" s="2"/>
      <c r="T288" s="74" t="s">
        <v>287</v>
      </c>
      <c r="U288" s="315" t="s">
        <v>2642</v>
      </c>
    </row>
    <row r="289" spans="1:21" x14ac:dyDescent="0.3">
      <c r="A289" t="s">
        <v>38</v>
      </c>
      <c r="B289" s="36" t="s">
        <v>2591</v>
      </c>
      <c r="C289" s="51" t="s">
        <v>2651</v>
      </c>
      <c r="D289" s="2" t="s">
        <v>2652</v>
      </c>
      <c r="E289" s="51">
        <v>6001488009</v>
      </c>
      <c r="F289" s="2" t="s">
        <v>2653</v>
      </c>
      <c r="G289" s="51" t="s">
        <v>2654</v>
      </c>
      <c r="H289" s="2" t="s">
        <v>2614</v>
      </c>
      <c r="I289" s="2" t="s">
        <v>1318</v>
      </c>
      <c r="J289" s="20" t="s">
        <v>2594</v>
      </c>
      <c r="K289" s="20">
        <v>20</v>
      </c>
      <c r="L289" s="2" t="s">
        <v>2655</v>
      </c>
      <c r="M289" s="5">
        <v>1</v>
      </c>
      <c r="N289" s="5">
        <v>20</v>
      </c>
      <c r="O289" s="2" t="s">
        <v>2616</v>
      </c>
      <c r="P289" s="27" t="s">
        <v>2625</v>
      </c>
      <c r="Q289" s="2" t="s">
        <v>2656</v>
      </c>
      <c r="R289" s="2" t="s">
        <v>28</v>
      </c>
      <c r="S289" s="2" t="s">
        <v>2625</v>
      </c>
      <c r="T289" s="18" t="s">
        <v>38</v>
      </c>
      <c r="U289" s="18" t="s">
        <v>2657</v>
      </c>
    </row>
    <row r="290" spans="1:21" ht="28.8" x14ac:dyDescent="0.3">
      <c r="A290" t="s">
        <v>344</v>
      </c>
      <c r="B290" s="261" t="s">
        <v>2658</v>
      </c>
      <c r="C290" s="434" t="s">
        <v>2659</v>
      </c>
      <c r="D290" s="252" t="s">
        <v>2517</v>
      </c>
      <c r="E290" s="424">
        <v>6001487998</v>
      </c>
      <c r="F290" s="252" t="s">
        <v>1318</v>
      </c>
      <c r="G290" s="252" t="s">
        <v>2660</v>
      </c>
      <c r="H290" s="252" t="s">
        <v>2661</v>
      </c>
      <c r="I290" s="252" t="s">
        <v>1318</v>
      </c>
      <c r="J290" s="7" t="s">
        <v>2594</v>
      </c>
      <c r="K290" s="252">
        <v>20</v>
      </c>
      <c r="L290" s="252">
        <v>2600</v>
      </c>
      <c r="M290" s="283">
        <v>1</v>
      </c>
      <c r="N290" s="252">
        <v>20</v>
      </c>
      <c r="O290" s="252" t="s">
        <v>2616</v>
      </c>
      <c r="P290" s="252" t="s">
        <v>2662</v>
      </c>
      <c r="Q290" s="252" t="s">
        <v>2663</v>
      </c>
      <c r="R290" s="252" t="s">
        <v>28</v>
      </c>
      <c r="S290" s="252" t="s">
        <v>2614</v>
      </c>
      <c r="T290" s="440" t="s">
        <v>55</v>
      </c>
      <c r="U290" s="282" t="s">
        <v>2657</v>
      </c>
    </row>
    <row r="291" spans="1:21" ht="28.8" x14ac:dyDescent="0.3">
      <c r="A291" t="s">
        <v>344</v>
      </c>
      <c r="B291" s="441" t="s">
        <v>2664</v>
      </c>
      <c r="C291" s="370" t="s">
        <v>1252</v>
      </c>
      <c r="D291" s="252"/>
      <c r="E291" s="39" t="s">
        <v>2665</v>
      </c>
      <c r="F291" s="252" t="s">
        <v>1554</v>
      </c>
      <c r="G291" s="423" t="s">
        <v>2666</v>
      </c>
      <c r="H291" s="252" t="s">
        <v>2381</v>
      </c>
      <c r="I291" s="252" t="s">
        <v>1554</v>
      </c>
      <c r="J291" s="7" t="s">
        <v>2667</v>
      </c>
      <c r="K291" s="65">
        <v>48.15</v>
      </c>
      <c r="L291" s="252">
        <v>715</v>
      </c>
      <c r="M291" s="283">
        <v>2</v>
      </c>
      <c r="N291" s="252">
        <v>20</v>
      </c>
      <c r="O291" s="252" t="s">
        <v>2668</v>
      </c>
      <c r="P291" s="252" t="s">
        <v>2564</v>
      </c>
      <c r="Q291" s="252" t="s">
        <v>2669</v>
      </c>
      <c r="R291" s="252" t="s">
        <v>28</v>
      </c>
      <c r="S291" s="252" t="s">
        <v>2641</v>
      </c>
      <c r="T291" s="282" t="s">
        <v>2670</v>
      </c>
      <c r="U291" s="282" t="s">
        <v>2671</v>
      </c>
    </row>
    <row r="292" spans="1:21" ht="28.8" x14ac:dyDescent="0.3">
      <c r="A292" s="2" t="s">
        <v>55</v>
      </c>
      <c r="B292" s="27" t="s">
        <v>109</v>
      </c>
      <c r="C292" s="2" t="s">
        <v>2672</v>
      </c>
      <c r="D292" s="2" t="s">
        <v>2456</v>
      </c>
      <c r="E292" s="19">
        <v>24081605</v>
      </c>
      <c r="F292" s="2" t="s">
        <v>1272</v>
      </c>
      <c r="G292" s="2" t="s">
        <v>2673</v>
      </c>
      <c r="H292" s="2" t="s">
        <v>2674</v>
      </c>
      <c r="I292" s="2" t="s">
        <v>1272</v>
      </c>
      <c r="J292" s="2" t="s">
        <v>2600</v>
      </c>
      <c r="K292" s="2">
        <v>125</v>
      </c>
      <c r="L292" s="2"/>
      <c r="M292" s="5">
        <v>5</v>
      </c>
      <c r="N292" s="5">
        <v>20</v>
      </c>
      <c r="O292" s="2" t="s">
        <v>2456</v>
      </c>
      <c r="P292" s="266" t="s">
        <v>2675</v>
      </c>
      <c r="Q292" s="266" t="s">
        <v>2676</v>
      </c>
      <c r="R292" s="2" t="s">
        <v>28</v>
      </c>
      <c r="S292" s="2" t="s">
        <v>2523</v>
      </c>
      <c r="T292" s="343" t="s">
        <v>2677</v>
      </c>
      <c r="U292" s="343" t="s">
        <v>2678</v>
      </c>
    </row>
    <row r="293" spans="1:21" x14ac:dyDescent="0.3">
      <c r="A293" s="81" t="s">
        <v>38</v>
      </c>
      <c r="B293" s="27" t="s">
        <v>2617</v>
      </c>
      <c r="C293" s="2" t="s">
        <v>2679</v>
      </c>
      <c r="D293" s="2" t="s">
        <v>2498</v>
      </c>
      <c r="E293" s="2" t="s">
        <v>2680</v>
      </c>
      <c r="F293" s="2" t="s">
        <v>1232</v>
      </c>
      <c r="G293" s="2" t="s">
        <v>2681</v>
      </c>
      <c r="H293" s="2" t="s">
        <v>2542</v>
      </c>
      <c r="I293" s="2" t="s">
        <v>1435</v>
      </c>
      <c r="J293" s="2" t="s">
        <v>2682</v>
      </c>
      <c r="K293" s="2">
        <v>27</v>
      </c>
      <c r="L293" s="2" t="s">
        <v>2683</v>
      </c>
      <c r="M293" s="5">
        <v>1</v>
      </c>
      <c r="N293" s="5">
        <v>40</v>
      </c>
      <c r="O293" s="2" t="s">
        <v>2684</v>
      </c>
      <c r="P293" s="2" t="s">
        <v>2657</v>
      </c>
      <c r="Q293" s="2" t="s">
        <v>2663</v>
      </c>
      <c r="R293" s="2" t="s">
        <v>28</v>
      </c>
      <c r="S293" s="2" t="s">
        <v>2662</v>
      </c>
      <c r="T293" t="s">
        <v>38</v>
      </c>
      <c r="U293" t="s">
        <v>2685</v>
      </c>
    </row>
    <row r="294" spans="1:21" ht="57.6" x14ac:dyDescent="0.3">
      <c r="A294" s="81" t="s">
        <v>60</v>
      </c>
      <c r="B294" s="261" t="s">
        <v>2686</v>
      </c>
      <c r="C294" s="2" t="s">
        <v>2687</v>
      </c>
      <c r="D294" s="252" t="s">
        <v>2355</v>
      </c>
      <c r="E294" s="300" t="s">
        <v>2688</v>
      </c>
      <c r="F294" s="252" t="s">
        <v>1462</v>
      </c>
      <c r="G294" s="19">
        <v>244159313</v>
      </c>
      <c r="H294" s="252" t="s">
        <v>2399</v>
      </c>
      <c r="I294" s="252" t="s">
        <v>2689</v>
      </c>
      <c r="J294" s="252" t="s">
        <v>2690</v>
      </c>
      <c r="K294" s="252">
        <v>120.56</v>
      </c>
      <c r="L294" s="252">
        <v>722</v>
      </c>
      <c r="M294" s="283">
        <v>5</v>
      </c>
      <c r="N294" s="252">
        <v>20</v>
      </c>
      <c r="O294" s="252" t="s">
        <v>2581</v>
      </c>
      <c r="P294" s="252" t="s">
        <v>2691</v>
      </c>
      <c r="Q294" s="252" t="s">
        <v>2692</v>
      </c>
      <c r="R294" s="252" t="s">
        <v>28</v>
      </c>
      <c r="S294" s="252" t="s">
        <v>2564</v>
      </c>
      <c r="T294" s="328" t="s">
        <v>38</v>
      </c>
      <c r="U294" s="328" t="s">
        <v>2685</v>
      </c>
    </row>
    <row r="295" spans="1:21" x14ac:dyDescent="0.3">
      <c r="A295" s="81" t="s">
        <v>38</v>
      </c>
      <c r="B295" s="27" t="s">
        <v>2693</v>
      </c>
      <c r="C295" s="2" t="s">
        <v>2694</v>
      </c>
      <c r="D295" s="2" t="s">
        <v>2430</v>
      </c>
      <c r="E295" s="2" t="s">
        <v>2695</v>
      </c>
      <c r="F295" s="2" t="s">
        <v>2696</v>
      </c>
      <c r="G295" s="19">
        <v>244259687</v>
      </c>
      <c r="H295" s="2" t="s">
        <v>2466</v>
      </c>
      <c r="I295" s="2" t="s">
        <v>1232</v>
      </c>
      <c r="J295" s="2" t="s">
        <v>2697</v>
      </c>
      <c r="K295" s="2">
        <v>27</v>
      </c>
      <c r="L295" s="2" t="s">
        <v>2698</v>
      </c>
      <c r="M295" s="5">
        <v>1</v>
      </c>
      <c r="N295" s="5">
        <v>40</v>
      </c>
      <c r="O295" s="2" t="s">
        <v>2581</v>
      </c>
      <c r="P295" s="2" t="s">
        <v>2624</v>
      </c>
      <c r="Q295" s="2" t="s">
        <v>2699</v>
      </c>
      <c r="R295" s="2" t="s">
        <v>28</v>
      </c>
      <c r="S295" s="2" t="s">
        <v>2612</v>
      </c>
      <c r="T295" s="18" t="s">
        <v>38</v>
      </c>
      <c r="U295" s="282" t="s">
        <v>2699</v>
      </c>
    </row>
    <row r="296" spans="1:21" x14ac:dyDescent="0.3">
      <c r="A296" s="81" t="s">
        <v>123</v>
      </c>
      <c r="B296" s="2" t="s">
        <v>758</v>
      </c>
      <c r="C296" s="2" t="s">
        <v>2700</v>
      </c>
      <c r="D296" s="2" t="s">
        <v>2614</v>
      </c>
      <c r="E296" s="2" t="s">
        <v>2701</v>
      </c>
      <c r="F296" s="2" t="s">
        <v>1296</v>
      </c>
      <c r="G296" s="2" t="s">
        <v>2702</v>
      </c>
      <c r="H296" s="2" t="s">
        <v>2662</v>
      </c>
      <c r="I296" s="2" t="s">
        <v>1296</v>
      </c>
      <c r="J296" s="2" t="s">
        <v>2703</v>
      </c>
      <c r="K296" s="2">
        <v>29660</v>
      </c>
      <c r="L296" s="2" t="s">
        <v>2704</v>
      </c>
      <c r="M296" s="2">
        <v>1</v>
      </c>
      <c r="N296" s="2"/>
      <c r="O296" s="2" t="s">
        <v>2637</v>
      </c>
      <c r="P296" s="2" t="s">
        <v>2705</v>
      </c>
      <c r="Q296" s="2"/>
      <c r="R296" s="2" t="s">
        <v>28</v>
      </c>
      <c r="S296" s="2"/>
      <c r="T296" s="18" t="s">
        <v>123</v>
      </c>
      <c r="U296" s="282" t="s">
        <v>2699</v>
      </c>
    </row>
    <row r="297" spans="1:21" x14ac:dyDescent="0.3">
      <c r="A297" s="81" t="s">
        <v>123</v>
      </c>
      <c r="B297" s="2" t="s">
        <v>758</v>
      </c>
      <c r="C297" s="2" t="s">
        <v>2700</v>
      </c>
      <c r="D297" s="2" t="s">
        <v>2614</v>
      </c>
      <c r="E297" s="2" t="s">
        <v>2701</v>
      </c>
      <c r="F297" s="2" t="s">
        <v>1296</v>
      </c>
      <c r="G297" s="2">
        <v>30085</v>
      </c>
      <c r="H297" s="2" t="s">
        <v>2625</v>
      </c>
      <c r="I297" s="2" t="s">
        <v>1296</v>
      </c>
      <c r="J297" s="2" t="s">
        <v>2706</v>
      </c>
      <c r="K297" s="2">
        <v>10070</v>
      </c>
      <c r="L297" s="2" t="s">
        <v>2707</v>
      </c>
      <c r="M297" s="2">
        <v>1</v>
      </c>
      <c r="N297" s="2"/>
      <c r="O297" s="2" t="s">
        <v>2657</v>
      </c>
      <c r="P297" s="2" t="s">
        <v>2708</v>
      </c>
      <c r="Q297" s="2"/>
      <c r="R297" s="2" t="s">
        <v>28</v>
      </c>
      <c r="S297" s="2"/>
      <c r="T297" s="74" t="s">
        <v>123</v>
      </c>
      <c r="U297" s="282" t="s">
        <v>2663</v>
      </c>
    </row>
    <row r="298" spans="1:21" ht="43.2" x14ac:dyDescent="0.3">
      <c r="A298" s="81" t="s">
        <v>55</v>
      </c>
      <c r="B298" s="36" t="s">
        <v>130</v>
      </c>
      <c r="C298" s="2" t="s">
        <v>2709</v>
      </c>
      <c r="D298" s="2" t="s">
        <v>2674</v>
      </c>
      <c r="E298" s="6">
        <v>123532</v>
      </c>
      <c r="F298" s="2" t="s">
        <v>1904</v>
      </c>
      <c r="G298" s="19">
        <v>243292465</v>
      </c>
      <c r="H298" s="2" t="s">
        <v>2510</v>
      </c>
      <c r="I298" s="2" t="s">
        <v>1904</v>
      </c>
      <c r="J298" s="2" t="s">
        <v>2710</v>
      </c>
      <c r="K298" s="2">
        <v>497.38099999999997</v>
      </c>
      <c r="L298" s="2" t="s">
        <v>2711</v>
      </c>
      <c r="M298" s="5">
        <v>20</v>
      </c>
      <c r="N298" s="5">
        <v>20</v>
      </c>
      <c r="O298" s="2" t="s">
        <v>2662</v>
      </c>
      <c r="P298" s="2" t="s">
        <v>2708</v>
      </c>
      <c r="Q298" s="2" t="s">
        <v>2656</v>
      </c>
      <c r="R298" s="2" t="s">
        <v>28</v>
      </c>
      <c r="S298" s="2" t="s">
        <v>2642</v>
      </c>
      <c r="T298" s="343" t="s">
        <v>2712</v>
      </c>
      <c r="U298" s="343" t="s">
        <v>2713</v>
      </c>
    </row>
    <row r="299" spans="1:21" ht="28.8" x14ac:dyDescent="0.3">
      <c r="A299" s="81" t="s">
        <v>344</v>
      </c>
      <c r="B299" s="252" t="s">
        <v>2330</v>
      </c>
      <c r="C299" s="252" t="s">
        <v>2714</v>
      </c>
      <c r="D299" s="252" t="s">
        <v>2612</v>
      </c>
      <c r="E299" s="252" t="s">
        <v>2715</v>
      </c>
      <c r="F299" s="252" t="s">
        <v>1296</v>
      </c>
      <c r="G299" s="252" t="s">
        <v>2716</v>
      </c>
      <c r="H299" s="252" t="s">
        <v>2625</v>
      </c>
      <c r="I299" s="252" t="s">
        <v>1296</v>
      </c>
      <c r="J299" s="252" t="s">
        <v>2717</v>
      </c>
      <c r="K299" s="252">
        <v>30</v>
      </c>
      <c r="L299" s="252" t="s">
        <v>2718</v>
      </c>
      <c r="M299" s="252">
        <v>1</v>
      </c>
      <c r="N299" s="252"/>
      <c r="O299" s="252"/>
      <c r="P299" s="252" t="s">
        <v>2663</v>
      </c>
      <c r="Q299" s="252"/>
      <c r="R299" s="252" t="s">
        <v>121</v>
      </c>
      <c r="S299" s="252"/>
      <c r="T299" s="74" t="s">
        <v>55</v>
      </c>
      <c r="U299" s="282" t="s">
        <v>2663</v>
      </c>
    </row>
    <row r="300" spans="1:21" ht="28.8" x14ac:dyDescent="0.3">
      <c r="A300" s="81" t="s">
        <v>55</v>
      </c>
      <c r="B300" s="252" t="s">
        <v>2330</v>
      </c>
      <c r="C300" s="2" t="s">
        <v>2544</v>
      </c>
      <c r="D300" s="2"/>
      <c r="E300" s="252" t="s">
        <v>2719</v>
      </c>
      <c r="F300" s="2" t="s">
        <v>1296</v>
      </c>
      <c r="G300" s="252" t="s">
        <v>2720</v>
      </c>
      <c r="H300" s="2" t="s">
        <v>2657</v>
      </c>
      <c r="I300" s="252" t="s">
        <v>1296</v>
      </c>
      <c r="J300" s="2" t="s">
        <v>205</v>
      </c>
      <c r="K300" s="2">
        <v>30</v>
      </c>
      <c r="L300" s="2" t="s">
        <v>2718</v>
      </c>
      <c r="M300" s="2">
        <v>1</v>
      </c>
      <c r="N300" s="2"/>
      <c r="O300" s="2"/>
      <c r="P300" s="2" t="s">
        <v>2721</v>
      </c>
      <c r="Q300" s="2"/>
      <c r="R300" s="2" t="s">
        <v>121</v>
      </c>
      <c r="S300" s="2"/>
      <c r="T300" s="74" t="s">
        <v>55</v>
      </c>
      <c r="U300" s="282" t="s">
        <v>2722</v>
      </c>
    </row>
    <row r="301" spans="1:21" ht="28.8" x14ac:dyDescent="0.3">
      <c r="A301" s="81" t="s">
        <v>60</v>
      </c>
      <c r="B301" s="436" t="s">
        <v>2664</v>
      </c>
      <c r="C301" s="19" t="s">
        <v>1252</v>
      </c>
      <c r="D301" s="252"/>
      <c r="E301" s="39" t="s">
        <v>2665</v>
      </c>
      <c r="F301" s="252" t="s">
        <v>1554</v>
      </c>
      <c r="G301" s="423" t="s">
        <v>2723</v>
      </c>
      <c r="H301" s="252" t="s">
        <v>2381</v>
      </c>
      <c r="I301" s="252" t="s">
        <v>1554</v>
      </c>
      <c r="J301" s="7" t="s">
        <v>2667</v>
      </c>
      <c r="K301" s="65">
        <v>72.3</v>
      </c>
      <c r="L301" s="252"/>
      <c r="M301" s="283">
        <v>3</v>
      </c>
      <c r="N301" s="252">
        <v>20</v>
      </c>
      <c r="O301" s="252" t="s">
        <v>2668</v>
      </c>
      <c r="P301" s="252" t="s">
        <v>2615</v>
      </c>
      <c r="Q301" s="252" t="s">
        <v>2724</v>
      </c>
      <c r="R301" s="252" t="s">
        <v>28</v>
      </c>
      <c r="S301" s="252" t="s">
        <v>2663</v>
      </c>
      <c r="T301" s="282" t="s">
        <v>2725</v>
      </c>
      <c r="U301" s="282" t="s">
        <v>2726</v>
      </c>
    </row>
    <row r="302" spans="1:21" x14ac:dyDescent="0.3">
      <c r="A302" s="81" t="s">
        <v>287</v>
      </c>
      <c r="B302" s="2" t="s">
        <v>758</v>
      </c>
      <c r="C302" s="2" t="s">
        <v>2700</v>
      </c>
      <c r="D302" s="2" t="s">
        <v>2614</v>
      </c>
      <c r="E302" s="2" t="s">
        <v>2701</v>
      </c>
      <c r="F302" s="2" t="s">
        <v>1296</v>
      </c>
      <c r="G302" s="2">
        <v>1133461</v>
      </c>
      <c r="H302" s="2" t="s">
        <v>2727</v>
      </c>
      <c r="I302" s="2" t="s">
        <v>1296</v>
      </c>
      <c r="J302" s="2" t="s">
        <v>2728</v>
      </c>
      <c r="K302" s="2">
        <v>25</v>
      </c>
      <c r="L302" s="2"/>
      <c r="M302" s="2">
        <v>1</v>
      </c>
      <c r="N302" s="2"/>
      <c r="O302" s="2" t="s">
        <v>2631</v>
      </c>
      <c r="P302" s="2" t="s">
        <v>2699</v>
      </c>
      <c r="Q302" s="2"/>
      <c r="R302" s="2" t="s">
        <v>28</v>
      </c>
      <c r="S302" s="2"/>
      <c r="T302" s="74" t="s">
        <v>2729</v>
      </c>
      <c r="U302" s="282" t="s">
        <v>2730</v>
      </c>
    </row>
    <row r="303" spans="1:21" ht="43.2" x14ac:dyDescent="0.3">
      <c r="A303" s="81" t="s">
        <v>60</v>
      </c>
      <c r="B303" s="252" t="s">
        <v>2731</v>
      </c>
      <c r="C303" s="19" t="s">
        <v>2732</v>
      </c>
      <c r="D303" s="252" t="s">
        <v>2733</v>
      </c>
      <c r="E303" s="252" t="s">
        <v>2734</v>
      </c>
      <c r="F303" s="252" t="s">
        <v>1296</v>
      </c>
      <c r="G303" s="252"/>
      <c r="H303" s="252"/>
      <c r="I303" s="252" t="s">
        <v>1296</v>
      </c>
      <c r="J303" s="252" t="s">
        <v>2735</v>
      </c>
      <c r="K303" s="252">
        <v>60202</v>
      </c>
      <c r="L303" s="252">
        <v>9593590</v>
      </c>
      <c r="M303" s="252">
        <v>3</v>
      </c>
      <c r="N303" s="252"/>
      <c r="O303" s="252" t="s">
        <v>2736</v>
      </c>
      <c r="P303" s="252" t="s">
        <v>2737</v>
      </c>
      <c r="Q303" s="252"/>
      <c r="R303" s="252" t="s">
        <v>121</v>
      </c>
      <c r="S303" s="252"/>
      <c r="T303" s="74" t="s">
        <v>2738</v>
      </c>
      <c r="U303" s="282" t="s">
        <v>2737</v>
      </c>
    </row>
    <row r="304" spans="1:21" ht="28.8" x14ac:dyDescent="0.3">
      <c r="A304" s="81" t="s">
        <v>38</v>
      </c>
      <c r="B304" s="27" t="s">
        <v>2686</v>
      </c>
      <c r="C304" s="25" t="s">
        <v>2739</v>
      </c>
      <c r="D304" s="25" t="s">
        <v>2624</v>
      </c>
      <c r="E304" s="25" t="s">
        <v>2740</v>
      </c>
      <c r="F304" s="25" t="s">
        <v>2442</v>
      </c>
      <c r="G304" s="25" t="s">
        <v>2741</v>
      </c>
      <c r="H304" s="2" t="s">
        <v>2742</v>
      </c>
      <c r="I304" s="2" t="s">
        <v>2743</v>
      </c>
      <c r="J304" s="2" t="s">
        <v>977</v>
      </c>
      <c r="K304" s="2">
        <v>476.28</v>
      </c>
      <c r="L304" s="2" t="s">
        <v>2744</v>
      </c>
      <c r="M304" s="5">
        <v>22</v>
      </c>
      <c r="N304" s="5">
        <v>20</v>
      </c>
      <c r="O304" s="2" t="s">
        <v>2554</v>
      </c>
      <c r="P304" s="2" t="s">
        <v>2721</v>
      </c>
      <c r="Q304" s="2" t="s">
        <v>2745</v>
      </c>
      <c r="R304" s="2" t="s">
        <v>28</v>
      </c>
      <c r="S304" s="2"/>
      <c r="T304" s="343" t="s">
        <v>2746</v>
      </c>
      <c r="U304" s="343" t="s">
        <v>2747</v>
      </c>
    </row>
    <row r="305" spans="1:21" x14ac:dyDescent="0.3">
      <c r="A305" s="81" t="s">
        <v>49</v>
      </c>
      <c r="B305" t="s">
        <v>2632</v>
      </c>
      <c r="C305" t="s">
        <v>2748</v>
      </c>
      <c r="D305" t="s">
        <v>2581</v>
      </c>
      <c r="E305" t="s">
        <v>2749</v>
      </c>
      <c r="F305" t="s">
        <v>1296</v>
      </c>
      <c r="G305" t="s">
        <v>2750</v>
      </c>
      <c r="H305" t="s">
        <v>2721</v>
      </c>
      <c r="I305" t="s">
        <v>1340</v>
      </c>
      <c r="J305" t="s">
        <v>2385</v>
      </c>
      <c r="K305">
        <v>29.7</v>
      </c>
      <c r="M305">
        <v>1</v>
      </c>
      <c r="O305" t="s">
        <v>2751</v>
      </c>
      <c r="P305" t="s">
        <v>2752</v>
      </c>
      <c r="R305" t="s">
        <v>121</v>
      </c>
      <c r="T305" s="74" t="s">
        <v>1683</v>
      </c>
      <c r="U305" s="282" t="s">
        <v>2753</v>
      </c>
    </row>
    <row r="306" spans="1:21" x14ac:dyDescent="0.3">
      <c r="A306" s="81" t="s">
        <v>38</v>
      </c>
      <c r="B306" s="27" t="s">
        <v>2617</v>
      </c>
      <c r="C306" s="25" t="s">
        <v>2754</v>
      </c>
      <c r="D306" s="25" t="s">
        <v>2498</v>
      </c>
      <c r="E306" s="25" t="s">
        <v>2755</v>
      </c>
      <c r="F306" s="25" t="s">
        <v>2350</v>
      </c>
      <c r="G306" s="25" t="s">
        <v>2756</v>
      </c>
      <c r="H306" s="2" t="s">
        <v>2492</v>
      </c>
      <c r="I306" s="2" t="s">
        <v>1232</v>
      </c>
      <c r="J306" s="432" t="s">
        <v>1234</v>
      </c>
      <c r="K306" s="2">
        <v>27</v>
      </c>
      <c r="L306" s="2" t="s">
        <v>2757</v>
      </c>
      <c r="M306" s="5">
        <v>1</v>
      </c>
      <c r="N306" s="5">
        <v>40</v>
      </c>
      <c r="O306" s="2" t="s">
        <v>2705</v>
      </c>
      <c r="P306" s="2" t="s">
        <v>2751</v>
      </c>
      <c r="Q306" s="2" t="s">
        <v>2758</v>
      </c>
      <c r="R306" s="2" t="s">
        <v>28</v>
      </c>
      <c r="S306" s="2" t="s">
        <v>2581</v>
      </c>
      <c r="T306" s="18" t="s">
        <v>38</v>
      </c>
      <c r="U306" t="s">
        <v>2759</v>
      </c>
    </row>
    <row r="307" spans="1:21" ht="43.2" x14ac:dyDescent="0.3">
      <c r="A307" s="81" t="s">
        <v>38</v>
      </c>
      <c r="B307" s="36" t="s">
        <v>2686</v>
      </c>
      <c r="C307" s="25" t="s">
        <v>2760</v>
      </c>
      <c r="D307" s="25" t="s">
        <v>2548</v>
      </c>
      <c r="E307" s="25" t="s">
        <v>2761</v>
      </c>
      <c r="F307" s="25" t="s">
        <v>1462</v>
      </c>
      <c r="G307" s="4">
        <v>244199298</v>
      </c>
      <c r="H307" s="2" t="s">
        <v>2581</v>
      </c>
      <c r="I307" s="2" t="s">
        <v>1462</v>
      </c>
      <c r="J307" s="20" t="s">
        <v>137</v>
      </c>
      <c r="K307" s="20">
        <v>382.94</v>
      </c>
      <c r="L307" s="435" t="s">
        <v>2762</v>
      </c>
      <c r="M307" s="5">
        <v>20</v>
      </c>
      <c r="N307" s="5">
        <v>20</v>
      </c>
      <c r="O307" s="2" t="s">
        <v>2763</v>
      </c>
      <c r="P307" s="2" t="s">
        <v>2736</v>
      </c>
      <c r="Q307" s="2" t="s">
        <v>2764</v>
      </c>
      <c r="R307" s="2" t="s">
        <v>28</v>
      </c>
      <c r="S307" s="2" t="s">
        <v>2657</v>
      </c>
      <c r="T307" s="343" t="s">
        <v>2765</v>
      </c>
      <c r="U307" s="343" t="s">
        <v>2766</v>
      </c>
    </row>
    <row r="308" spans="1:21" x14ac:dyDescent="0.3">
      <c r="A308" s="81" t="s">
        <v>38</v>
      </c>
      <c r="B308" s="36" t="s">
        <v>109</v>
      </c>
      <c r="C308" s="49" t="s">
        <v>2767</v>
      </c>
      <c r="D308" s="25" t="s">
        <v>2768</v>
      </c>
      <c r="E308" s="443">
        <v>24100701</v>
      </c>
      <c r="F308" s="25" t="s">
        <v>1272</v>
      </c>
      <c r="G308" s="25" t="s">
        <v>2769</v>
      </c>
      <c r="H308" s="2" t="s">
        <v>2630</v>
      </c>
      <c r="I308" s="2" t="s">
        <v>1272</v>
      </c>
      <c r="J308" s="20" t="s">
        <v>2600</v>
      </c>
      <c r="K308" s="20">
        <v>125</v>
      </c>
      <c r="L308" s="2" t="s">
        <v>2770</v>
      </c>
      <c r="M308" s="5">
        <v>5</v>
      </c>
      <c r="N308" s="5">
        <v>20</v>
      </c>
      <c r="O308" s="2" t="s">
        <v>2637</v>
      </c>
      <c r="P308" s="2" t="s">
        <v>2751</v>
      </c>
      <c r="Q308" s="2" t="s">
        <v>2771</v>
      </c>
      <c r="R308" s="2" t="s">
        <v>28</v>
      </c>
      <c r="S308" s="2"/>
      <c r="T308" s="74" t="s">
        <v>2772</v>
      </c>
      <c r="U308" s="74" t="s">
        <v>2759</v>
      </c>
    </row>
    <row r="309" spans="1:21" x14ac:dyDescent="0.3">
      <c r="A309" s="81" t="s">
        <v>38</v>
      </c>
      <c r="B309" s="27" t="s">
        <v>2543</v>
      </c>
      <c r="C309" s="2" t="s">
        <v>2544</v>
      </c>
      <c r="D309" s="2"/>
      <c r="E309" s="2" t="s">
        <v>2773</v>
      </c>
      <c r="F309" s="2" t="s">
        <v>1296</v>
      </c>
      <c r="G309" s="2" t="s">
        <v>2774</v>
      </c>
      <c r="H309" s="2" t="s">
        <v>2585</v>
      </c>
      <c r="I309" s="2" t="s">
        <v>1296</v>
      </c>
      <c r="J309" s="20" t="s">
        <v>205</v>
      </c>
      <c r="K309" s="20">
        <v>30</v>
      </c>
      <c r="L309" s="2" t="s">
        <v>2718</v>
      </c>
      <c r="M309" s="5">
        <v>1</v>
      </c>
      <c r="N309" s="2"/>
      <c r="O309" s="2" t="s">
        <v>2775</v>
      </c>
      <c r="P309" s="444" t="s">
        <v>2776</v>
      </c>
      <c r="Q309" s="2"/>
      <c r="R309" s="2" t="s">
        <v>28</v>
      </c>
      <c r="S309" s="2"/>
      <c r="T309" s="74" t="s">
        <v>38</v>
      </c>
      <c r="U309" s="74" t="s">
        <v>2777</v>
      </c>
    </row>
    <row r="310" spans="1:21" ht="57.6" x14ac:dyDescent="0.3">
      <c r="A310" s="81" t="s">
        <v>38</v>
      </c>
      <c r="B310" s="27" t="s">
        <v>2686</v>
      </c>
      <c r="C310" s="25" t="s">
        <v>2739</v>
      </c>
      <c r="D310" s="25" t="s">
        <v>2624</v>
      </c>
      <c r="E310" s="25" t="s">
        <v>2778</v>
      </c>
      <c r="F310" s="25" t="s">
        <v>2442</v>
      </c>
      <c r="G310" s="25" t="s">
        <v>2779</v>
      </c>
      <c r="H310" s="2" t="s">
        <v>2442</v>
      </c>
      <c r="I310" s="2" t="s">
        <v>2743</v>
      </c>
      <c r="J310" s="2" t="s">
        <v>977</v>
      </c>
      <c r="K310" s="2">
        <v>523.49</v>
      </c>
      <c r="L310" s="2" t="s">
        <v>2744</v>
      </c>
      <c r="M310" s="5">
        <v>24</v>
      </c>
      <c r="N310" s="5">
        <v>20</v>
      </c>
      <c r="O310" s="2" t="s">
        <v>2699</v>
      </c>
      <c r="P310" s="2" t="s">
        <v>2753</v>
      </c>
      <c r="Q310" s="2" t="s">
        <v>2780</v>
      </c>
      <c r="R310" s="2" t="s">
        <v>28</v>
      </c>
      <c r="S310" s="2" t="s">
        <v>2781</v>
      </c>
      <c r="T310" s="315" t="s">
        <v>2782</v>
      </c>
      <c r="U310" s="315" t="s">
        <v>2783</v>
      </c>
    </row>
    <row r="311" spans="1:21" x14ac:dyDescent="0.3">
      <c r="A311" s="81" t="s">
        <v>55</v>
      </c>
      <c r="B311" s="36" t="s">
        <v>130</v>
      </c>
      <c r="C311" s="6" t="s">
        <v>2784</v>
      </c>
      <c r="D311" s="25" t="s">
        <v>2459</v>
      </c>
      <c r="E311" s="6">
        <v>123550</v>
      </c>
      <c r="F311" s="25" t="s">
        <v>1904</v>
      </c>
      <c r="G311" s="4">
        <v>244577089</v>
      </c>
      <c r="H311" s="2" t="s">
        <v>2518</v>
      </c>
      <c r="I311" s="2" t="s">
        <v>1904</v>
      </c>
      <c r="J311" s="20" t="s">
        <v>2785</v>
      </c>
      <c r="K311" s="20">
        <v>99.879000000000005</v>
      </c>
      <c r="L311" s="435" t="s">
        <v>2786</v>
      </c>
      <c r="M311" s="5">
        <v>4</v>
      </c>
      <c r="N311" s="5">
        <v>20</v>
      </c>
      <c r="O311" s="2" t="s">
        <v>2722</v>
      </c>
      <c r="P311" s="2" t="s">
        <v>2759</v>
      </c>
      <c r="Q311" s="2" t="s">
        <v>2787</v>
      </c>
      <c r="R311" s="2" t="s">
        <v>121</v>
      </c>
      <c r="S311" s="2"/>
      <c r="T311" s="18" t="s">
        <v>55</v>
      </c>
      <c r="U311" s="18" t="s">
        <v>2788</v>
      </c>
    </row>
    <row r="312" spans="1:21" ht="28.8" x14ac:dyDescent="0.3">
      <c r="A312" s="81" t="s">
        <v>38</v>
      </c>
      <c r="B312" s="36" t="s">
        <v>130</v>
      </c>
      <c r="C312" s="25" t="s">
        <v>2789</v>
      </c>
      <c r="D312" s="25" t="s">
        <v>2198</v>
      </c>
      <c r="E312" s="4">
        <v>126675</v>
      </c>
      <c r="F312" s="25" t="s">
        <v>1904</v>
      </c>
      <c r="G312" s="4">
        <v>244943173</v>
      </c>
      <c r="H312" s="2" t="s">
        <v>2597</v>
      </c>
      <c r="I312" s="2" t="s">
        <v>1904</v>
      </c>
      <c r="J312" s="20" t="s">
        <v>2465</v>
      </c>
      <c r="K312" s="20">
        <v>498.84</v>
      </c>
      <c r="L312" s="435" t="s">
        <v>2790</v>
      </c>
      <c r="M312" s="5">
        <v>20</v>
      </c>
      <c r="N312" s="5">
        <v>20</v>
      </c>
      <c r="O312" s="2" t="s">
        <v>2759</v>
      </c>
      <c r="P312" s="2" t="s">
        <v>2777</v>
      </c>
      <c r="Q312" s="2" t="s">
        <v>2791</v>
      </c>
      <c r="R312" s="2" t="s">
        <v>121</v>
      </c>
      <c r="S312" s="2"/>
      <c r="T312" s="343" t="s">
        <v>2792</v>
      </c>
      <c r="U312" s="315" t="s">
        <v>2793</v>
      </c>
    </row>
    <row r="313" spans="1:21" ht="57.6" x14ac:dyDescent="0.3">
      <c r="A313" s="81" t="s">
        <v>2772</v>
      </c>
      <c r="B313" s="2" t="s">
        <v>2357</v>
      </c>
      <c r="C313" s="2" t="s">
        <v>2794</v>
      </c>
      <c r="D313" s="2" t="s">
        <v>2585</v>
      </c>
      <c r="E313" s="2" t="s">
        <v>2795</v>
      </c>
      <c r="F313" s="2" t="s">
        <v>1296</v>
      </c>
      <c r="G313" s="2" t="s">
        <v>2795</v>
      </c>
      <c r="H313" s="2" t="s">
        <v>2796</v>
      </c>
      <c r="I313" s="2" t="s">
        <v>1296</v>
      </c>
      <c r="J313" s="266" t="s">
        <v>2797</v>
      </c>
      <c r="K313" s="266" t="s">
        <v>2798</v>
      </c>
      <c r="L313" s="2"/>
      <c r="M313" s="2">
        <v>1</v>
      </c>
      <c r="N313" s="2"/>
      <c r="O313" s="2"/>
      <c r="P313" s="2"/>
      <c r="Q313" s="2"/>
      <c r="R313" s="2" t="s">
        <v>28</v>
      </c>
      <c r="S313" s="266" t="s">
        <v>2799</v>
      </c>
      <c r="T313" s="74" t="s">
        <v>287</v>
      </c>
      <c r="U313" t="s">
        <v>2787</v>
      </c>
    </row>
    <row r="314" spans="1:21" x14ac:dyDescent="0.3">
      <c r="A314" s="81" t="s">
        <v>38</v>
      </c>
      <c r="B314" s="20" t="s">
        <v>2186</v>
      </c>
      <c r="C314" s="470" t="s">
        <v>2800</v>
      </c>
      <c r="D314" s="2" t="s">
        <v>2752</v>
      </c>
      <c r="E314" s="19">
        <v>335</v>
      </c>
      <c r="F314" s="2" t="s">
        <v>2692</v>
      </c>
      <c r="G314" s="19" t="s">
        <v>2801</v>
      </c>
      <c r="H314" s="2" t="s">
        <v>2781</v>
      </c>
      <c r="I314" s="2" t="s">
        <v>1296</v>
      </c>
      <c r="J314" s="20" t="s">
        <v>2802</v>
      </c>
      <c r="K314" s="20">
        <v>5</v>
      </c>
      <c r="L314" s="2" t="s">
        <v>2803</v>
      </c>
      <c r="M314" s="5">
        <v>1</v>
      </c>
      <c r="N314" s="2"/>
      <c r="O314" s="2" t="s">
        <v>2788</v>
      </c>
      <c r="P314" s="2" t="s">
        <v>2764</v>
      </c>
      <c r="Q314" s="2"/>
      <c r="R314" s="2" t="s">
        <v>121</v>
      </c>
      <c r="S314" s="2"/>
      <c r="T314" s="313" t="s">
        <v>38</v>
      </c>
      <c r="U314" s="315" t="s">
        <v>2804</v>
      </c>
    </row>
    <row r="315" spans="1:21" ht="28.8" x14ac:dyDescent="0.3">
      <c r="A315" s="81" t="s">
        <v>60</v>
      </c>
      <c r="B315" s="261" t="s">
        <v>2605</v>
      </c>
      <c r="C315" s="252" t="s">
        <v>2805</v>
      </c>
      <c r="D315" s="252" t="s">
        <v>2806</v>
      </c>
      <c r="E315" s="252" t="s">
        <v>2807</v>
      </c>
      <c r="F315" s="252" t="s">
        <v>2705</v>
      </c>
      <c r="G315" s="252" t="s">
        <v>2808</v>
      </c>
      <c r="H315" s="252" t="s">
        <v>2777</v>
      </c>
      <c r="I315" s="252" t="s">
        <v>1296</v>
      </c>
      <c r="J315" s="252" t="s">
        <v>2809</v>
      </c>
      <c r="K315" s="252">
        <v>2604.8000000000002</v>
      </c>
      <c r="L315" s="252" t="s">
        <v>2810</v>
      </c>
      <c r="M315" s="252"/>
      <c r="N315" s="252"/>
      <c r="O315" s="252" t="s">
        <v>2764</v>
      </c>
      <c r="P315" s="252" t="s">
        <v>2780</v>
      </c>
      <c r="Q315" s="252">
        <v>14</v>
      </c>
      <c r="R315" s="252" t="s">
        <v>28</v>
      </c>
      <c r="S315" s="252"/>
      <c r="T315" s="74" t="s">
        <v>38</v>
      </c>
      <c r="U315" s="303" t="s">
        <v>2811</v>
      </c>
    </row>
    <row r="316" spans="1:21" ht="43.2" x14ac:dyDescent="0.3">
      <c r="A316" s="81" t="s">
        <v>60</v>
      </c>
      <c r="B316" s="252" t="s">
        <v>2731</v>
      </c>
      <c r="C316" s="252" t="s">
        <v>2812</v>
      </c>
      <c r="D316" s="252"/>
      <c r="E316" s="252" t="s">
        <v>2813</v>
      </c>
      <c r="F316" s="252" t="s">
        <v>2730</v>
      </c>
      <c r="G316" s="252"/>
      <c r="H316" s="252"/>
      <c r="I316" s="252" t="s">
        <v>1296</v>
      </c>
      <c r="J316" s="252" t="s">
        <v>2814</v>
      </c>
      <c r="K316" s="252">
        <v>21.603999999999999</v>
      </c>
      <c r="L316" s="252">
        <v>3917660</v>
      </c>
      <c r="M316" s="252">
        <v>1</v>
      </c>
      <c r="N316" s="252"/>
      <c r="O316" s="252" t="s">
        <v>2804</v>
      </c>
      <c r="P316" s="252" t="s">
        <v>2811</v>
      </c>
      <c r="Q316" s="252"/>
      <c r="R316" s="252" t="s">
        <v>121</v>
      </c>
      <c r="S316" s="252"/>
      <c r="T316" s="313" t="s">
        <v>60</v>
      </c>
      <c r="U316" s="303" t="s">
        <v>2811</v>
      </c>
    </row>
    <row r="317" spans="1:21" ht="72" x14ac:dyDescent="0.3">
      <c r="A317" s="81" t="s">
        <v>60</v>
      </c>
      <c r="B317" s="261" t="s">
        <v>2815</v>
      </c>
      <c r="C317" s="25" t="s">
        <v>2816</v>
      </c>
      <c r="D317" s="252" t="s">
        <v>2612</v>
      </c>
      <c r="E317" s="252" t="s">
        <v>2817</v>
      </c>
      <c r="F317" s="252" t="s">
        <v>2818</v>
      </c>
      <c r="G317" s="252" t="s">
        <v>2819</v>
      </c>
      <c r="H317" s="252"/>
      <c r="I317" s="252" t="s">
        <v>2818</v>
      </c>
      <c r="J317" s="252" t="s">
        <v>2820</v>
      </c>
      <c r="K317" s="252">
        <v>23.06</v>
      </c>
      <c r="L317" s="252" t="s">
        <v>2821</v>
      </c>
      <c r="M317" s="283">
        <v>1</v>
      </c>
      <c r="N317" s="252">
        <v>20</v>
      </c>
      <c r="O317" s="252" t="s">
        <v>2753</v>
      </c>
      <c r="P317" s="252" t="s">
        <v>2777</v>
      </c>
      <c r="Q317" s="252" t="s">
        <v>2791</v>
      </c>
      <c r="R317" s="252" t="s">
        <v>28</v>
      </c>
      <c r="S317" s="252" t="s">
        <v>2811</v>
      </c>
      <c r="T317" s="74" t="s">
        <v>287</v>
      </c>
      <c r="U317" s="303" t="s">
        <v>2822</v>
      </c>
    </row>
    <row r="318" spans="1:21" ht="28.8" x14ac:dyDescent="0.3">
      <c r="A318" s="81" t="s">
        <v>287</v>
      </c>
      <c r="B318" s="2" t="s">
        <v>2357</v>
      </c>
      <c r="C318" s="2" t="s">
        <v>2794</v>
      </c>
      <c r="D318" s="2" t="s">
        <v>2585</v>
      </c>
      <c r="E318" s="2" t="s">
        <v>2823</v>
      </c>
      <c r="F318" s="2" t="s">
        <v>1296</v>
      </c>
      <c r="G318" s="266" t="s">
        <v>2824</v>
      </c>
      <c r="H318" s="2" t="s">
        <v>2758</v>
      </c>
      <c r="I318" s="2" t="s">
        <v>1296</v>
      </c>
      <c r="J318" s="266" t="s">
        <v>2385</v>
      </c>
      <c r="K318" s="266">
        <v>28.31</v>
      </c>
      <c r="L318" s="2"/>
      <c r="M318" s="2">
        <v>1</v>
      </c>
      <c r="N318" s="2"/>
      <c r="O318" s="2" t="s">
        <v>2780</v>
      </c>
      <c r="P318" s="2" t="s">
        <v>2811</v>
      </c>
      <c r="Q318" s="2"/>
      <c r="R318" s="2" t="s">
        <v>28</v>
      </c>
      <c r="S318" s="2"/>
      <c r="T318" s="313" t="s">
        <v>287</v>
      </c>
      <c r="U318" s="282" t="s">
        <v>2825</v>
      </c>
    </row>
    <row r="319" spans="1:21" ht="28.8" x14ac:dyDescent="0.3">
      <c r="A319" s="81" t="s">
        <v>38</v>
      </c>
      <c r="B319" s="36" t="s">
        <v>130</v>
      </c>
      <c r="C319" s="6" t="s">
        <v>2826</v>
      </c>
      <c r="D319" s="25" t="s">
        <v>2459</v>
      </c>
      <c r="E319" s="6">
        <v>126594</v>
      </c>
      <c r="F319" s="25" t="s">
        <v>1904</v>
      </c>
      <c r="G319" s="4">
        <v>244943215</v>
      </c>
      <c r="H319" s="2" t="s">
        <v>2629</v>
      </c>
      <c r="I319" s="2" t="s">
        <v>1904</v>
      </c>
      <c r="J319" s="20" t="s">
        <v>2785</v>
      </c>
      <c r="K319" s="20">
        <v>499.1</v>
      </c>
      <c r="L319" s="435" t="s">
        <v>2827</v>
      </c>
      <c r="M319" s="5">
        <v>20</v>
      </c>
      <c r="N319" s="5">
        <v>20</v>
      </c>
      <c r="O319" s="2" t="s">
        <v>2721</v>
      </c>
      <c r="P319" s="2" t="s">
        <v>2771</v>
      </c>
      <c r="Q319" s="2" t="s">
        <v>2828</v>
      </c>
      <c r="R319" s="2" t="s">
        <v>28</v>
      </c>
      <c r="S319" s="2" t="s">
        <v>2637</v>
      </c>
      <c r="T319" s="343" t="s">
        <v>2829</v>
      </c>
      <c r="U319" s="343" t="s">
        <v>2830</v>
      </c>
    </row>
    <row r="320" spans="1:21" x14ac:dyDescent="0.3">
      <c r="A320" s="81" t="s">
        <v>287</v>
      </c>
      <c r="B320" s="2" t="s">
        <v>2357</v>
      </c>
      <c r="C320" s="2" t="s">
        <v>2748</v>
      </c>
      <c r="D320" s="2" t="s">
        <v>2581</v>
      </c>
      <c r="E320" s="2" t="s">
        <v>2831</v>
      </c>
      <c r="F320" s="2" t="s">
        <v>1296</v>
      </c>
      <c r="G320" s="2" t="s">
        <v>2831</v>
      </c>
      <c r="H320" s="2" t="s">
        <v>2796</v>
      </c>
      <c r="I320" s="2" t="s">
        <v>1296</v>
      </c>
      <c r="J320" s="2" t="s">
        <v>2385</v>
      </c>
      <c r="K320" s="2">
        <v>32.090000000000003</v>
      </c>
      <c r="L320" s="2"/>
      <c r="M320" s="2">
        <v>1</v>
      </c>
      <c r="N320" s="2"/>
      <c r="O320" s="2"/>
      <c r="P320" s="2"/>
      <c r="Q320" s="2"/>
      <c r="R320" s="2" t="s">
        <v>28</v>
      </c>
      <c r="S320" s="2" t="s">
        <v>2832</v>
      </c>
      <c r="T320" s="313" t="s">
        <v>287</v>
      </c>
      <c r="U320" s="282" t="s">
        <v>2780</v>
      </c>
    </row>
    <row r="321" spans="1:21" x14ac:dyDescent="0.3">
      <c r="A321" s="81" t="s">
        <v>38</v>
      </c>
      <c r="B321" s="36" t="s">
        <v>130</v>
      </c>
      <c r="C321" s="6" t="s">
        <v>2784</v>
      </c>
      <c r="D321" s="25" t="s">
        <v>2459</v>
      </c>
      <c r="E321" s="6">
        <v>123550</v>
      </c>
      <c r="F321" s="25" t="s">
        <v>1904</v>
      </c>
      <c r="G321" s="6">
        <v>244943225</v>
      </c>
      <c r="H321" s="2" t="s">
        <v>2518</v>
      </c>
      <c r="I321" s="2" t="s">
        <v>1904</v>
      </c>
      <c r="J321" s="20" t="s">
        <v>2785</v>
      </c>
      <c r="K321" s="20">
        <v>398.13900000000001</v>
      </c>
      <c r="L321" s="435" t="s">
        <v>2786</v>
      </c>
      <c r="M321" s="5">
        <v>16</v>
      </c>
      <c r="N321" s="5">
        <v>20</v>
      </c>
      <c r="O321" s="2" t="s">
        <v>2721</v>
      </c>
      <c r="P321" s="2" t="s">
        <v>2771</v>
      </c>
      <c r="Q321" s="2" t="s">
        <v>2828</v>
      </c>
      <c r="R321" s="2" t="s">
        <v>28</v>
      </c>
      <c r="S321" s="2" t="s">
        <v>2637</v>
      </c>
      <c r="T321" s="18" t="s">
        <v>2833</v>
      </c>
      <c r="U321" s="18" t="s">
        <v>2834</v>
      </c>
    </row>
    <row r="322" spans="1:21" ht="28.8" x14ac:dyDescent="0.3">
      <c r="A322" s="81" t="s">
        <v>60</v>
      </c>
      <c r="B322" s="261" t="s">
        <v>2835</v>
      </c>
      <c r="C322" s="252" t="s">
        <v>2836</v>
      </c>
      <c r="D322" s="252" t="s">
        <v>2674</v>
      </c>
      <c r="E322" s="252" t="s">
        <v>2837</v>
      </c>
      <c r="F322" s="252" t="s">
        <v>2333</v>
      </c>
      <c r="G322" s="252" t="s">
        <v>2838</v>
      </c>
      <c r="H322" s="252" t="s">
        <v>2514</v>
      </c>
      <c r="I322" s="252" t="s">
        <v>1435</v>
      </c>
      <c r="J322" s="252" t="s">
        <v>2717</v>
      </c>
      <c r="K322" s="252">
        <v>100</v>
      </c>
      <c r="L322" s="252">
        <v>520</v>
      </c>
      <c r="M322" s="283">
        <v>4</v>
      </c>
      <c r="N322" s="300">
        <v>20</v>
      </c>
      <c r="O322" s="252" t="s">
        <v>2705</v>
      </c>
      <c r="P322" s="252" t="s">
        <v>2764</v>
      </c>
      <c r="Q322" s="252" t="s">
        <v>2839</v>
      </c>
      <c r="R322" s="252" t="s">
        <v>28</v>
      </c>
      <c r="S322" s="252" t="s">
        <v>2777</v>
      </c>
      <c r="T322" s="282" t="s">
        <v>2772</v>
      </c>
      <c r="U322" s="282" t="s">
        <v>2840</v>
      </c>
    </row>
    <row r="323" spans="1:21" ht="27.6" x14ac:dyDescent="0.3">
      <c r="A323" s="81" t="s">
        <v>38</v>
      </c>
      <c r="B323" s="27" t="s">
        <v>2841</v>
      </c>
      <c r="C323" s="451" t="s">
        <v>2842</v>
      </c>
      <c r="D323" s="2" t="s">
        <v>2722</v>
      </c>
      <c r="E323" s="19">
        <v>99167161</v>
      </c>
      <c r="F323" s="2"/>
      <c r="G323" s="471" t="s">
        <v>2843</v>
      </c>
      <c r="H323" s="2" t="s">
        <v>2721</v>
      </c>
      <c r="I323" s="2" t="s">
        <v>1318</v>
      </c>
      <c r="J323" s="16" t="s">
        <v>274</v>
      </c>
      <c r="K323" s="449">
        <v>8</v>
      </c>
      <c r="L323" s="450">
        <v>95030</v>
      </c>
      <c r="M323" s="5">
        <v>1</v>
      </c>
      <c r="N323" s="5">
        <v>20</v>
      </c>
      <c r="O323" s="2" t="s">
        <v>2656</v>
      </c>
      <c r="P323" s="2" t="s">
        <v>2811</v>
      </c>
      <c r="Q323" s="2" t="s">
        <v>2844</v>
      </c>
      <c r="R323" s="2" t="s">
        <v>28</v>
      </c>
      <c r="S323" s="2" t="s">
        <v>2825</v>
      </c>
      <c r="T323" s="18" t="s">
        <v>38</v>
      </c>
      <c r="U323" s="18" t="s">
        <v>2840</v>
      </c>
    </row>
    <row r="324" spans="1:21" x14ac:dyDescent="0.3">
      <c r="A324" s="81" t="s">
        <v>38</v>
      </c>
      <c r="B324" s="27" t="s">
        <v>2845</v>
      </c>
      <c r="C324" s="2" t="s">
        <v>2846</v>
      </c>
      <c r="D324" s="2" t="s">
        <v>2257</v>
      </c>
      <c r="E324" s="8" t="s">
        <v>2847</v>
      </c>
      <c r="F324" s="2" t="s">
        <v>2438</v>
      </c>
      <c r="G324" s="2" t="s">
        <v>2848</v>
      </c>
      <c r="H324" s="2" t="s">
        <v>2527</v>
      </c>
      <c r="I324" s="2" t="s">
        <v>2438</v>
      </c>
      <c r="J324" s="2" t="s">
        <v>2441</v>
      </c>
      <c r="K324" s="2">
        <v>188.74</v>
      </c>
      <c r="L324" s="2" t="s">
        <v>2849</v>
      </c>
      <c r="M324" s="5">
        <v>10</v>
      </c>
      <c r="N324" s="5">
        <v>20</v>
      </c>
      <c r="O324" s="2" t="s">
        <v>2692</v>
      </c>
      <c r="P324" s="2" t="s">
        <v>2791</v>
      </c>
      <c r="Q324" s="2" t="s">
        <v>2850</v>
      </c>
      <c r="R324" s="2" t="s">
        <v>28</v>
      </c>
      <c r="S324" s="2" t="s">
        <v>2612</v>
      </c>
      <c r="T324" s="18" t="s">
        <v>38</v>
      </c>
      <c r="U324" s="18" t="s">
        <v>2828</v>
      </c>
    </row>
    <row r="325" spans="1:21" x14ac:dyDescent="0.3">
      <c r="A325" s="81" t="s">
        <v>38</v>
      </c>
      <c r="B325" s="27" t="s">
        <v>2845</v>
      </c>
      <c r="C325" s="2" t="s">
        <v>2846</v>
      </c>
      <c r="D325" s="2" t="s">
        <v>2257</v>
      </c>
      <c r="E325" s="8" t="s">
        <v>2847</v>
      </c>
      <c r="F325" s="2" t="s">
        <v>2438</v>
      </c>
      <c r="G325" s="2" t="s">
        <v>2851</v>
      </c>
      <c r="H325" s="2" t="s">
        <v>2527</v>
      </c>
      <c r="I325" s="2" t="s">
        <v>2438</v>
      </c>
      <c r="J325" s="2" t="s">
        <v>2441</v>
      </c>
      <c r="K325" s="2">
        <v>20.3</v>
      </c>
      <c r="L325" s="2" t="s">
        <v>2849</v>
      </c>
      <c r="M325" s="5">
        <v>1</v>
      </c>
      <c r="N325" s="5">
        <v>20</v>
      </c>
      <c r="O325" s="2" t="s">
        <v>2692</v>
      </c>
      <c r="P325" s="2" t="s">
        <v>2852</v>
      </c>
      <c r="Q325" s="2" t="s">
        <v>2853</v>
      </c>
      <c r="R325" s="2" t="s">
        <v>28</v>
      </c>
      <c r="S325" s="2" t="s">
        <v>2612</v>
      </c>
      <c r="T325" s="18" t="s">
        <v>38</v>
      </c>
      <c r="U325" s="18" t="s">
        <v>2854</v>
      </c>
    </row>
    <row r="326" spans="1:21" x14ac:dyDescent="0.3">
      <c r="A326" s="81" t="s">
        <v>38</v>
      </c>
      <c r="B326" s="27" t="s">
        <v>2845</v>
      </c>
      <c r="C326" s="2" t="s">
        <v>2846</v>
      </c>
      <c r="D326" s="2" t="s">
        <v>2257</v>
      </c>
      <c r="E326" s="8" t="s">
        <v>2847</v>
      </c>
      <c r="F326" s="2" t="s">
        <v>2438</v>
      </c>
      <c r="G326" s="2" t="s">
        <v>2855</v>
      </c>
      <c r="H326" s="2" t="s">
        <v>2527</v>
      </c>
      <c r="I326" s="2" t="s">
        <v>2438</v>
      </c>
      <c r="J326" s="2" t="s">
        <v>2441</v>
      </c>
      <c r="K326" s="2">
        <v>39.56</v>
      </c>
      <c r="L326" s="2" t="s">
        <v>2849</v>
      </c>
      <c r="M326" s="5">
        <v>2</v>
      </c>
      <c r="N326" s="5">
        <v>20</v>
      </c>
      <c r="O326" s="2" t="s">
        <v>2692</v>
      </c>
      <c r="P326" s="2" t="s">
        <v>2852</v>
      </c>
      <c r="Q326" s="2" t="s">
        <v>2850</v>
      </c>
      <c r="R326" s="2" t="s">
        <v>28</v>
      </c>
      <c r="S326" s="2" t="s">
        <v>2612</v>
      </c>
      <c r="T326" s="18" t="s">
        <v>38</v>
      </c>
      <c r="U326" s="18" t="s">
        <v>2854</v>
      </c>
    </row>
    <row r="327" spans="1:21" x14ac:dyDescent="0.3">
      <c r="A327" s="81" t="s">
        <v>287</v>
      </c>
      <c r="B327" s="27" t="s">
        <v>2856</v>
      </c>
      <c r="C327" s="25" t="s">
        <v>2857</v>
      </c>
      <c r="D327" s="2" t="s">
        <v>2434</v>
      </c>
      <c r="E327" s="2" t="s">
        <v>2858</v>
      </c>
      <c r="F327" s="2"/>
      <c r="G327" s="2" t="s">
        <v>2859</v>
      </c>
      <c r="H327" s="2" t="s">
        <v>2860</v>
      </c>
      <c r="I327" s="2" t="s">
        <v>2861</v>
      </c>
      <c r="J327" s="2" t="s">
        <v>24</v>
      </c>
      <c r="K327" s="2">
        <v>90.85</v>
      </c>
      <c r="L327" s="2" t="s">
        <v>2862</v>
      </c>
      <c r="M327" s="5">
        <v>5</v>
      </c>
      <c r="N327" s="2">
        <v>20</v>
      </c>
      <c r="O327" s="2" t="s">
        <v>2751</v>
      </c>
      <c r="P327" s="2" t="s">
        <v>2804</v>
      </c>
      <c r="Q327" s="2" t="s">
        <v>2863</v>
      </c>
      <c r="R327" s="2" t="s">
        <v>28</v>
      </c>
      <c r="S327" s="2" t="s">
        <v>2852</v>
      </c>
      <c r="T327" s="282" t="s">
        <v>287</v>
      </c>
      <c r="U327" s="282" t="s">
        <v>2854</v>
      </c>
    </row>
    <row r="328" spans="1:21" ht="86.4" x14ac:dyDescent="0.3">
      <c r="A328" s="81" t="s">
        <v>38</v>
      </c>
      <c r="B328" s="36" t="s">
        <v>2864</v>
      </c>
      <c r="C328" s="67" t="s">
        <v>2865</v>
      </c>
      <c r="D328" s="2" t="s">
        <v>2625</v>
      </c>
      <c r="E328" s="6" t="s">
        <v>2866</v>
      </c>
      <c r="F328" s="2" t="s">
        <v>1462</v>
      </c>
      <c r="G328" s="67">
        <v>245504291</v>
      </c>
      <c r="H328" s="2" t="s">
        <v>2727</v>
      </c>
      <c r="I328" s="2" t="s">
        <v>1462</v>
      </c>
      <c r="J328" s="20" t="s">
        <v>137</v>
      </c>
      <c r="K328" s="8">
        <v>544.24</v>
      </c>
      <c r="L328" s="447" t="s">
        <v>2867</v>
      </c>
      <c r="M328" s="5">
        <v>20</v>
      </c>
      <c r="N328" s="5">
        <v>40</v>
      </c>
      <c r="O328" s="2" t="s">
        <v>2764</v>
      </c>
      <c r="P328" s="2" t="s">
        <v>2852</v>
      </c>
      <c r="Q328" s="2" t="s">
        <v>2868</v>
      </c>
      <c r="R328" s="2" t="s">
        <v>121</v>
      </c>
      <c r="S328" s="2"/>
      <c r="T328" s="343" t="s">
        <v>2869</v>
      </c>
      <c r="U328" s="343" t="s">
        <v>2870</v>
      </c>
    </row>
    <row r="329" spans="1:21" x14ac:dyDescent="0.3">
      <c r="A329" s="81" t="s">
        <v>38</v>
      </c>
      <c r="B329" s="316" t="s">
        <v>1981</v>
      </c>
      <c r="C329" s="4" t="s">
        <v>2871</v>
      </c>
      <c r="D329" s="2" t="s">
        <v>2788</v>
      </c>
      <c r="E329" s="189" t="s">
        <v>2872</v>
      </c>
      <c r="F329" s="2" t="s">
        <v>1232</v>
      </c>
      <c r="G329" s="4">
        <v>245652144</v>
      </c>
      <c r="H329" s="2" t="s">
        <v>2649</v>
      </c>
      <c r="I329" s="338" t="s">
        <v>1232</v>
      </c>
      <c r="J329" s="7" t="s">
        <v>1234</v>
      </c>
      <c r="K329" s="8">
        <v>27</v>
      </c>
      <c r="L329" s="448" t="s">
        <v>2873</v>
      </c>
      <c r="M329" s="5">
        <v>1</v>
      </c>
      <c r="N329" s="197">
        <v>40</v>
      </c>
      <c r="O329" s="385" t="s">
        <v>2764</v>
      </c>
      <c r="P329" s="444" t="s">
        <v>2839</v>
      </c>
      <c r="Q329" s="444" t="s">
        <v>2874</v>
      </c>
      <c r="R329" s="2" t="s">
        <v>121</v>
      </c>
      <c r="S329" s="2" t="s">
        <v>2804</v>
      </c>
      <c r="T329" t="s">
        <v>38</v>
      </c>
      <c r="U329" t="s">
        <v>2839</v>
      </c>
    </row>
    <row r="330" spans="1:21" x14ac:dyDescent="0.3">
      <c r="A330" s="81" t="s">
        <v>287</v>
      </c>
      <c r="B330" s="27" t="s">
        <v>2856</v>
      </c>
      <c r="C330" s="2" t="s">
        <v>2875</v>
      </c>
      <c r="D330" s="2" t="s">
        <v>2876</v>
      </c>
      <c r="E330" s="2" t="s">
        <v>2877</v>
      </c>
      <c r="F330" s="2" t="s">
        <v>20</v>
      </c>
      <c r="G330" s="2" t="s">
        <v>2878</v>
      </c>
      <c r="H330" s="2" t="s">
        <v>2549</v>
      </c>
      <c r="I330" s="2" t="s">
        <v>2861</v>
      </c>
      <c r="J330" s="2" t="s">
        <v>24</v>
      </c>
      <c r="K330" s="2">
        <v>109.02</v>
      </c>
      <c r="L330" s="2"/>
      <c r="M330" s="2">
        <v>6</v>
      </c>
      <c r="N330" s="2">
        <v>20</v>
      </c>
      <c r="O330" s="2" t="s">
        <v>2806</v>
      </c>
      <c r="P330" s="2" t="s">
        <v>2804</v>
      </c>
      <c r="Q330" s="2" t="s">
        <v>2863</v>
      </c>
      <c r="R330" s="2" t="s">
        <v>28</v>
      </c>
      <c r="S330" s="442" t="s">
        <v>2585</v>
      </c>
      <c r="T330" s="18" t="s">
        <v>287</v>
      </c>
      <c r="U330" s="18" t="s">
        <v>2863</v>
      </c>
    </row>
    <row r="331" spans="1:21" x14ac:dyDescent="0.3">
      <c r="A331" s="81" t="s">
        <v>38</v>
      </c>
      <c r="B331" s="27" t="s">
        <v>2658</v>
      </c>
      <c r="C331" s="51" t="s">
        <v>2879</v>
      </c>
      <c r="D331" s="2" t="s">
        <v>2642</v>
      </c>
      <c r="E331" s="438">
        <v>6001506959</v>
      </c>
      <c r="F331" s="2" t="s">
        <v>1318</v>
      </c>
      <c r="G331" s="51" t="s">
        <v>2880</v>
      </c>
      <c r="H331" s="2" t="s">
        <v>2796</v>
      </c>
      <c r="I331" s="2" t="s">
        <v>1318</v>
      </c>
      <c r="J331" s="20" t="s">
        <v>152</v>
      </c>
      <c r="K331" s="20">
        <v>20</v>
      </c>
      <c r="L331" s="2" t="s">
        <v>2881</v>
      </c>
      <c r="M331" s="5">
        <v>1</v>
      </c>
      <c r="N331" s="5">
        <v>20</v>
      </c>
      <c r="O331" s="2" t="s">
        <v>2758</v>
      </c>
      <c r="P331" s="2" t="s">
        <v>2882</v>
      </c>
      <c r="Q331" s="2" t="s">
        <v>2883</v>
      </c>
      <c r="R331" s="2" t="s">
        <v>28</v>
      </c>
      <c r="S331" s="2" t="s">
        <v>2834</v>
      </c>
      <c r="T331" s="18" t="s">
        <v>38</v>
      </c>
      <c r="U331" s="18" t="s">
        <v>2884</v>
      </c>
    </row>
    <row r="332" spans="1:21" x14ac:dyDescent="0.3">
      <c r="A332" s="81" t="s">
        <v>38</v>
      </c>
      <c r="B332" s="27" t="s">
        <v>2565</v>
      </c>
      <c r="C332" s="2" t="s">
        <v>2885</v>
      </c>
      <c r="D332" s="2" t="s">
        <v>2777</v>
      </c>
      <c r="E332" s="2" t="s">
        <v>2886</v>
      </c>
      <c r="F332" s="2" t="s">
        <v>1296</v>
      </c>
      <c r="G332" s="19" t="s">
        <v>2887</v>
      </c>
      <c r="H332" s="2" t="s">
        <v>2787</v>
      </c>
      <c r="I332" s="2" t="s">
        <v>1296</v>
      </c>
      <c r="J332" s="20" t="s">
        <v>2167</v>
      </c>
      <c r="K332" s="20">
        <v>10</v>
      </c>
      <c r="L332" s="19">
        <v>1310000</v>
      </c>
      <c r="M332" s="5">
        <v>1</v>
      </c>
      <c r="N332" s="2"/>
      <c r="O332" s="2" t="s">
        <v>2884</v>
      </c>
      <c r="P332" s="2" t="s">
        <v>2888</v>
      </c>
      <c r="Q332" s="2"/>
      <c r="R332" s="2" t="s">
        <v>28</v>
      </c>
      <c r="S332" s="2" t="s">
        <v>2889</v>
      </c>
      <c r="T332" s="74" t="s">
        <v>38</v>
      </c>
      <c r="U332" s="74" t="s">
        <v>2853</v>
      </c>
    </row>
    <row r="333" spans="1:21" ht="28.8" x14ac:dyDescent="0.3">
      <c r="A333" s="81" t="s">
        <v>38</v>
      </c>
      <c r="B333" s="261" t="s">
        <v>2658</v>
      </c>
      <c r="C333" s="51" t="s">
        <v>2890</v>
      </c>
      <c r="D333" s="2" t="s">
        <v>2642</v>
      </c>
      <c r="E333" s="438">
        <v>6001506960</v>
      </c>
      <c r="F333" s="2" t="s">
        <v>1318</v>
      </c>
      <c r="G333" s="51" t="s">
        <v>2891</v>
      </c>
      <c r="H333" s="2" t="s">
        <v>2776</v>
      </c>
      <c r="I333" s="2" t="s">
        <v>1318</v>
      </c>
      <c r="J333" s="20" t="s">
        <v>152</v>
      </c>
      <c r="K333" s="20">
        <v>20</v>
      </c>
      <c r="L333" s="2" t="s">
        <v>2881</v>
      </c>
      <c r="M333" s="5">
        <v>1</v>
      </c>
      <c r="N333" s="5">
        <v>20</v>
      </c>
      <c r="O333" s="2" t="s">
        <v>2780</v>
      </c>
      <c r="P333" s="2" t="s">
        <v>2839</v>
      </c>
      <c r="Q333" s="2" t="s">
        <v>2892</v>
      </c>
      <c r="R333" s="2" t="s">
        <v>28</v>
      </c>
      <c r="S333" s="2" t="s">
        <v>2834</v>
      </c>
      <c r="T333" s="18" t="s">
        <v>38</v>
      </c>
      <c r="U333" s="18" t="s">
        <v>2853</v>
      </c>
    </row>
    <row r="334" spans="1:21" x14ac:dyDescent="0.3">
      <c r="A334" s="81" t="s">
        <v>38</v>
      </c>
      <c r="B334" s="36" t="s">
        <v>2893</v>
      </c>
      <c r="C334" s="6" t="s">
        <v>2894</v>
      </c>
      <c r="D334" s="2" t="s">
        <v>2895</v>
      </c>
      <c r="E334" s="6" t="s">
        <v>2896</v>
      </c>
      <c r="F334" s="2" t="s">
        <v>1462</v>
      </c>
      <c r="G334" s="2" t="s">
        <v>2897</v>
      </c>
      <c r="H334" s="2" t="s">
        <v>2447</v>
      </c>
      <c r="I334" s="2" t="s">
        <v>2898</v>
      </c>
      <c r="J334" s="20" t="s">
        <v>2899</v>
      </c>
      <c r="K334" s="20">
        <v>273.01</v>
      </c>
      <c r="L334" s="2" t="s">
        <v>2900</v>
      </c>
      <c r="M334" s="5">
        <v>13</v>
      </c>
      <c r="N334" s="5">
        <v>20</v>
      </c>
      <c r="O334" s="2" t="s">
        <v>2642</v>
      </c>
      <c r="P334" s="2" t="s">
        <v>2863</v>
      </c>
      <c r="Q334" s="2" t="s">
        <v>2901</v>
      </c>
      <c r="R334" s="2" t="s">
        <v>28</v>
      </c>
      <c r="S334" s="2"/>
      <c r="T334" s="18" t="s">
        <v>2772</v>
      </c>
      <c r="U334" s="18" t="s">
        <v>2902</v>
      </c>
    </row>
    <row r="335" spans="1:21" x14ac:dyDescent="0.3">
      <c r="A335" s="81" t="s">
        <v>38</v>
      </c>
      <c r="B335" s="27" t="s">
        <v>2903</v>
      </c>
      <c r="C335" s="44" t="s">
        <v>2904</v>
      </c>
      <c r="D335" s="2"/>
      <c r="E335" s="19" t="s">
        <v>2905</v>
      </c>
      <c r="F335" s="2" t="s">
        <v>1296</v>
      </c>
      <c r="G335" s="2"/>
      <c r="H335" s="2"/>
      <c r="I335" s="2"/>
      <c r="J335" s="2" t="s">
        <v>2906</v>
      </c>
      <c r="K335" s="495">
        <v>1024</v>
      </c>
      <c r="L335" s="496">
        <v>36111</v>
      </c>
      <c r="M335" s="2"/>
      <c r="N335" s="2"/>
      <c r="O335" s="2"/>
      <c r="P335" s="2"/>
      <c r="Q335" s="2"/>
      <c r="R335" s="2"/>
      <c r="S335" s="2"/>
      <c r="T335" s="18" t="s">
        <v>38</v>
      </c>
      <c r="U335" s="74" t="s">
        <v>2901</v>
      </c>
    </row>
    <row r="336" spans="1:21" x14ac:dyDescent="0.3">
      <c r="A336" s="81" t="s">
        <v>38</v>
      </c>
      <c r="B336" s="27" t="s">
        <v>2903</v>
      </c>
      <c r="C336" s="44" t="s">
        <v>2907</v>
      </c>
      <c r="D336" s="2"/>
      <c r="E336" s="19" t="s">
        <v>2908</v>
      </c>
      <c r="F336" s="2" t="s">
        <v>1296</v>
      </c>
      <c r="G336" s="2"/>
      <c r="H336" s="2"/>
      <c r="I336" s="2"/>
      <c r="J336" s="2" t="s">
        <v>2909</v>
      </c>
      <c r="K336" s="495">
        <v>285</v>
      </c>
      <c r="L336" s="496">
        <v>32611</v>
      </c>
      <c r="M336" s="2"/>
      <c r="N336" s="2"/>
      <c r="O336" s="2"/>
      <c r="P336" s="2"/>
      <c r="Q336" s="2"/>
      <c r="R336" s="2"/>
      <c r="S336" s="2"/>
      <c r="T336" t="s">
        <v>38</v>
      </c>
      <c r="U336" s="74" t="s">
        <v>2901</v>
      </c>
    </row>
    <row r="337" spans="1:21" ht="43.2" x14ac:dyDescent="0.3">
      <c r="A337" s="81" t="s">
        <v>60</v>
      </c>
      <c r="B337" s="252" t="s">
        <v>2910</v>
      </c>
      <c r="C337" s="252" t="s">
        <v>2911</v>
      </c>
      <c r="D337" s="252" t="s">
        <v>2781</v>
      </c>
      <c r="E337" s="252" t="s">
        <v>2912</v>
      </c>
      <c r="F337" s="252" t="s">
        <v>1296</v>
      </c>
      <c r="G337" s="252" t="s">
        <v>2913</v>
      </c>
      <c r="H337" s="252" t="s">
        <v>2884</v>
      </c>
      <c r="I337" s="252" t="s">
        <v>1296</v>
      </c>
      <c r="J337" s="252" t="s">
        <v>205</v>
      </c>
      <c r="K337" s="252">
        <v>30</v>
      </c>
      <c r="L337" s="251">
        <v>1380000</v>
      </c>
      <c r="M337" s="252">
        <v>1</v>
      </c>
      <c r="N337" s="252"/>
      <c r="O337" s="252" t="s">
        <v>2914</v>
      </c>
      <c r="P337" s="252" t="s">
        <v>2915</v>
      </c>
      <c r="Q337" s="252"/>
      <c r="R337" s="252" t="s">
        <v>28</v>
      </c>
      <c r="S337" s="252"/>
      <c r="T337" s="328" t="s">
        <v>60</v>
      </c>
      <c r="U337" s="74" t="s">
        <v>2901</v>
      </c>
    </row>
    <row r="338" spans="1:21" x14ac:dyDescent="0.3">
      <c r="A338" s="81" t="s">
        <v>38</v>
      </c>
      <c r="B338" s="36" t="s">
        <v>2686</v>
      </c>
      <c r="C338" s="25" t="s">
        <v>2760</v>
      </c>
      <c r="D338" s="25" t="s">
        <v>2548</v>
      </c>
      <c r="E338" s="25" t="s">
        <v>2916</v>
      </c>
      <c r="F338" s="25" t="s">
        <v>1462</v>
      </c>
      <c r="G338" s="4">
        <v>245318949</v>
      </c>
      <c r="H338" s="2" t="s">
        <v>2581</v>
      </c>
      <c r="I338" s="2" t="s">
        <v>1462</v>
      </c>
      <c r="J338" s="20" t="s">
        <v>137</v>
      </c>
      <c r="K338" s="20">
        <v>99.46</v>
      </c>
      <c r="L338" s="435" t="s">
        <v>2762</v>
      </c>
      <c r="M338" s="5">
        <v>5</v>
      </c>
      <c r="N338" s="5">
        <v>20</v>
      </c>
      <c r="O338" s="2" t="s">
        <v>2791</v>
      </c>
      <c r="P338" s="2" t="s">
        <v>2844</v>
      </c>
      <c r="Q338" s="2" t="s">
        <v>2917</v>
      </c>
      <c r="R338" s="2" t="s">
        <v>28</v>
      </c>
      <c r="S338" s="2"/>
      <c r="T338" s="18" t="s">
        <v>2772</v>
      </c>
      <c r="U338" s="18" t="s">
        <v>2918</v>
      </c>
    </row>
    <row r="339" spans="1:21" ht="86.4" x14ac:dyDescent="0.3">
      <c r="A339" s="81" t="s">
        <v>60</v>
      </c>
      <c r="B339" s="261" t="s">
        <v>2919</v>
      </c>
      <c r="C339" s="25" t="s">
        <v>2920</v>
      </c>
      <c r="D339" s="252" t="s">
        <v>2481</v>
      </c>
      <c r="E339" s="2" t="s">
        <v>2921</v>
      </c>
      <c r="F339" s="252" t="s">
        <v>1232</v>
      </c>
      <c r="G339" s="252" t="s">
        <v>2922</v>
      </c>
      <c r="H339" s="252" t="s">
        <v>2650</v>
      </c>
      <c r="I339" s="252" t="s">
        <v>1232</v>
      </c>
      <c r="J339" s="252" t="s">
        <v>2923</v>
      </c>
      <c r="K339" s="252">
        <v>24</v>
      </c>
      <c r="L339" s="252">
        <v>2320</v>
      </c>
      <c r="M339" s="283">
        <v>1</v>
      </c>
      <c r="N339" s="252">
        <v>20</v>
      </c>
      <c r="O339" s="252" t="s">
        <v>2758</v>
      </c>
      <c r="P339" s="252" t="s">
        <v>2902</v>
      </c>
      <c r="Q339" s="252" t="s">
        <v>2924</v>
      </c>
      <c r="R339" s="252" t="s">
        <v>28</v>
      </c>
      <c r="S339" s="252" t="s">
        <v>2721</v>
      </c>
      <c r="T339" s="282" t="s">
        <v>287</v>
      </c>
      <c r="U339" s="282" t="s">
        <v>2883</v>
      </c>
    </row>
    <row r="340" spans="1:21" x14ac:dyDescent="0.3">
      <c r="A340" s="81" t="s">
        <v>38</v>
      </c>
      <c r="B340" s="473" t="s">
        <v>157</v>
      </c>
      <c r="C340" s="470" t="s">
        <v>2925</v>
      </c>
      <c r="D340" s="2" t="s">
        <v>2745</v>
      </c>
      <c r="E340" s="470">
        <v>24112601</v>
      </c>
      <c r="F340" s="2" t="s">
        <v>1272</v>
      </c>
      <c r="G340" s="212" t="s">
        <v>2926</v>
      </c>
      <c r="H340" s="2" t="s">
        <v>2927</v>
      </c>
      <c r="I340" s="2" t="s">
        <v>1272</v>
      </c>
      <c r="J340" s="247" t="s">
        <v>2928</v>
      </c>
      <c r="K340" s="247">
        <v>125</v>
      </c>
      <c r="L340" s="247" t="s">
        <v>2929</v>
      </c>
      <c r="M340" s="5">
        <v>5</v>
      </c>
      <c r="N340" s="5">
        <v>20</v>
      </c>
      <c r="O340" s="2" t="s">
        <v>2811</v>
      </c>
      <c r="P340" s="2" t="s">
        <v>2914</v>
      </c>
      <c r="Q340" s="2" t="s">
        <v>2930</v>
      </c>
      <c r="R340" s="2" t="s">
        <v>28</v>
      </c>
      <c r="S340" s="2" t="s">
        <v>2854</v>
      </c>
      <c r="T340" s="282" t="s">
        <v>38</v>
      </c>
      <c r="U340" s="282" t="s">
        <v>2892</v>
      </c>
    </row>
    <row r="341" spans="1:21" ht="43.2" x14ac:dyDescent="0.3">
      <c r="A341" s="81" t="s">
        <v>60</v>
      </c>
      <c r="B341" s="261" t="s">
        <v>109</v>
      </c>
      <c r="C341" t="s">
        <v>2931</v>
      </c>
      <c r="D341" s="252" t="s">
        <v>2777</v>
      </c>
      <c r="E341" s="19">
        <v>24112702</v>
      </c>
      <c r="F341" s="252" t="s">
        <v>2721</v>
      </c>
      <c r="G341" s="2" t="s">
        <v>2932</v>
      </c>
      <c r="H341" s="252" t="s">
        <v>2745</v>
      </c>
      <c r="I341" s="252" t="s">
        <v>1272</v>
      </c>
      <c r="J341" s="252" t="s">
        <v>2933</v>
      </c>
      <c r="K341" s="252">
        <v>125</v>
      </c>
      <c r="L341" s="252" t="s">
        <v>2934</v>
      </c>
      <c r="M341" s="283">
        <v>5</v>
      </c>
      <c r="N341" s="252">
        <v>20</v>
      </c>
      <c r="O341" s="252" t="s">
        <v>2771</v>
      </c>
      <c r="P341" s="252" t="s">
        <v>2914</v>
      </c>
      <c r="Q341" s="252" t="s">
        <v>2935</v>
      </c>
      <c r="R341" s="252" t="s">
        <v>28</v>
      </c>
      <c r="S341" s="252"/>
      <c r="T341" s="282" t="s">
        <v>2772</v>
      </c>
      <c r="U341" s="282" t="s">
        <v>2892</v>
      </c>
    </row>
    <row r="342" spans="1:21" ht="43.2" x14ac:dyDescent="0.3">
      <c r="A342" s="81" t="s">
        <v>38</v>
      </c>
      <c r="B342" s="27" t="s">
        <v>2936</v>
      </c>
      <c r="C342" s="25" t="s">
        <v>2937</v>
      </c>
      <c r="D342" s="25" t="s">
        <v>2434</v>
      </c>
      <c r="E342" s="25" t="s">
        <v>2938</v>
      </c>
      <c r="F342" s="25" t="s">
        <v>1702</v>
      </c>
      <c r="G342" s="25" t="s">
        <v>2939</v>
      </c>
      <c r="H342" s="2" t="s">
        <v>2514</v>
      </c>
      <c r="I342" s="2" t="s">
        <v>2940</v>
      </c>
      <c r="J342" s="2" t="s">
        <v>2941</v>
      </c>
      <c r="K342" s="2">
        <v>499.42099999999999</v>
      </c>
      <c r="L342" s="2" t="s">
        <v>2942</v>
      </c>
      <c r="M342" s="5">
        <v>20</v>
      </c>
      <c r="N342" s="5">
        <v>20</v>
      </c>
      <c r="O342" s="2" t="s">
        <v>2776</v>
      </c>
      <c r="P342" s="2" t="s">
        <v>2943</v>
      </c>
      <c r="Q342" s="2" t="s">
        <v>2944</v>
      </c>
      <c r="R342" s="2" t="s">
        <v>28</v>
      </c>
      <c r="S342" s="2" t="s">
        <v>2721</v>
      </c>
      <c r="T342" s="343" t="s">
        <v>2945</v>
      </c>
      <c r="U342" s="343" t="s">
        <v>2946</v>
      </c>
    </row>
    <row r="343" spans="1:21" ht="28.8" x14ac:dyDescent="0.3">
      <c r="A343" s="81" t="s">
        <v>38</v>
      </c>
      <c r="B343" s="27" t="s">
        <v>130</v>
      </c>
      <c r="C343" s="2" t="s">
        <v>2947</v>
      </c>
      <c r="D343" s="2" t="s">
        <v>2763</v>
      </c>
      <c r="E343" s="6">
        <v>126760</v>
      </c>
      <c r="F343" s="2" t="s">
        <v>1904</v>
      </c>
      <c r="G343" s="19">
        <v>245675325</v>
      </c>
      <c r="H343" s="2" t="s">
        <v>2663</v>
      </c>
      <c r="I343" s="2" t="s">
        <v>1904</v>
      </c>
      <c r="J343" s="20" t="s">
        <v>2465</v>
      </c>
      <c r="K343" s="20">
        <v>475.15899999999999</v>
      </c>
      <c r="L343" s="6" t="s">
        <v>2948</v>
      </c>
      <c r="M343" s="5">
        <v>19</v>
      </c>
      <c r="N343" s="5">
        <v>20</v>
      </c>
      <c r="O343" s="2" t="s">
        <v>2853</v>
      </c>
      <c r="P343" s="385" t="s">
        <v>2949</v>
      </c>
      <c r="Q343" s="2" t="s">
        <v>2950</v>
      </c>
      <c r="R343" s="2" t="s">
        <v>28</v>
      </c>
      <c r="S343" s="2" t="s">
        <v>2825</v>
      </c>
      <c r="T343" s="343" t="s">
        <v>2951</v>
      </c>
      <c r="U343" s="343" t="s">
        <v>2952</v>
      </c>
    </row>
    <row r="344" spans="1:21" x14ac:dyDescent="0.3">
      <c r="A344" s="81" t="s">
        <v>38</v>
      </c>
      <c r="B344" s="27" t="s">
        <v>2591</v>
      </c>
      <c r="C344" s="2" t="s">
        <v>2953</v>
      </c>
      <c r="D344" s="2" t="s">
        <v>2642</v>
      </c>
      <c r="E344" s="19">
        <v>6001506961</v>
      </c>
      <c r="F344" s="2" t="s">
        <v>1318</v>
      </c>
      <c r="G344" s="2" t="s">
        <v>2954</v>
      </c>
      <c r="H344" s="2" t="s">
        <v>2791</v>
      </c>
      <c r="I344" s="2" t="s">
        <v>1318</v>
      </c>
      <c r="J344" s="20" t="s">
        <v>152</v>
      </c>
      <c r="K344" s="20">
        <v>20</v>
      </c>
      <c r="L344" s="2" t="s">
        <v>2955</v>
      </c>
      <c r="M344" s="5">
        <v>1</v>
      </c>
      <c r="N344" s="5">
        <v>20</v>
      </c>
      <c r="O344" s="2" t="s">
        <v>2844</v>
      </c>
      <c r="P344" s="2" t="s">
        <v>2917</v>
      </c>
      <c r="Q344" s="2" t="s">
        <v>2956</v>
      </c>
      <c r="R344" s="2" t="s">
        <v>121</v>
      </c>
      <c r="S344" s="2"/>
      <c r="T344" s="18" t="s">
        <v>38</v>
      </c>
      <c r="U344" s="18" t="s">
        <v>2930</v>
      </c>
    </row>
    <row r="345" spans="1:21" x14ac:dyDescent="0.3">
      <c r="A345" s="81" t="s">
        <v>38</v>
      </c>
      <c r="B345" s="36" t="s">
        <v>2936</v>
      </c>
      <c r="C345" s="20" t="s">
        <v>2957</v>
      </c>
      <c r="D345" s="2" t="s">
        <v>2475</v>
      </c>
      <c r="E345" s="2" t="s">
        <v>2958</v>
      </c>
      <c r="F345" s="2" t="s">
        <v>1702</v>
      </c>
      <c r="G345" s="2" t="s">
        <v>2959</v>
      </c>
      <c r="H345" s="2" t="s">
        <v>2611</v>
      </c>
      <c r="I345" s="2" t="s">
        <v>1702</v>
      </c>
      <c r="J345" s="20" t="s">
        <v>2135</v>
      </c>
      <c r="K345" s="20">
        <v>299.995</v>
      </c>
      <c r="L345" s="2" t="s">
        <v>2960</v>
      </c>
      <c r="M345" s="5">
        <v>12</v>
      </c>
      <c r="N345" s="5">
        <v>20</v>
      </c>
      <c r="O345" s="2" t="s">
        <v>2828</v>
      </c>
      <c r="P345" s="2" t="s">
        <v>2961</v>
      </c>
      <c r="Q345" s="2" t="s">
        <v>2962</v>
      </c>
      <c r="R345" s="2" t="s">
        <v>28</v>
      </c>
      <c r="S345" s="2"/>
      <c r="T345" s="18" t="s">
        <v>2833</v>
      </c>
      <c r="U345" s="18" t="s">
        <v>2930</v>
      </c>
    </row>
    <row r="346" spans="1:21" x14ac:dyDescent="0.3">
      <c r="A346" s="81" t="s">
        <v>38</v>
      </c>
      <c r="B346" s="27" t="s">
        <v>2963</v>
      </c>
      <c r="C346" s="2" t="s">
        <v>2964</v>
      </c>
      <c r="D346" s="2" t="s">
        <v>2692</v>
      </c>
      <c r="E346" s="2" t="s">
        <v>2965</v>
      </c>
      <c r="F346" s="2" t="s">
        <v>1232</v>
      </c>
      <c r="G346" s="2" t="s">
        <v>2966</v>
      </c>
      <c r="H346" s="2" t="s">
        <v>2753</v>
      </c>
      <c r="I346" s="2" t="s">
        <v>1232</v>
      </c>
      <c r="J346" s="20" t="s">
        <v>205</v>
      </c>
      <c r="K346" s="20">
        <v>50</v>
      </c>
      <c r="L346" s="6" t="s">
        <v>2967</v>
      </c>
      <c r="M346" s="5">
        <v>2</v>
      </c>
      <c r="N346" s="5">
        <v>20</v>
      </c>
      <c r="O346" s="2" t="s">
        <v>2853</v>
      </c>
      <c r="P346" s="2" t="s">
        <v>2917</v>
      </c>
      <c r="Q346" s="2" t="s">
        <v>2956</v>
      </c>
      <c r="R346" s="2" t="s">
        <v>28</v>
      </c>
      <c r="S346" s="2"/>
      <c r="T346" s="18" t="s">
        <v>38</v>
      </c>
      <c r="U346" s="18" t="s">
        <v>2962</v>
      </c>
    </row>
    <row r="347" spans="1:21" x14ac:dyDescent="0.3">
      <c r="A347" s="81" t="s">
        <v>38</v>
      </c>
      <c r="B347" s="27" t="s">
        <v>2968</v>
      </c>
      <c r="C347" s="2" t="s">
        <v>2969</v>
      </c>
      <c r="D347" s="2" t="s">
        <v>2892</v>
      </c>
      <c r="E347" s="2" t="s">
        <v>2970</v>
      </c>
      <c r="F347" s="2" t="s">
        <v>1296</v>
      </c>
      <c r="G347" s="2" t="s">
        <v>2971</v>
      </c>
      <c r="H347" s="2" t="s">
        <v>2917</v>
      </c>
      <c r="I347" s="2" t="s">
        <v>1296</v>
      </c>
      <c r="J347" s="20" t="s">
        <v>2589</v>
      </c>
      <c r="K347" s="20">
        <v>5</v>
      </c>
      <c r="L347" s="2" t="s">
        <v>2972</v>
      </c>
      <c r="M347" s="5">
        <v>1</v>
      </c>
      <c r="N347" s="2"/>
      <c r="O347" s="2" t="s">
        <v>2973</v>
      </c>
      <c r="P347" s="2" t="s">
        <v>2962</v>
      </c>
      <c r="Q347" s="2"/>
      <c r="R347" s="2" t="s">
        <v>28</v>
      </c>
      <c r="S347" s="2"/>
      <c r="T347" s="18" t="s">
        <v>38</v>
      </c>
      <c r="U347" s="18" t="s">
        <v>2950</v>
      </c>
    </row>
    <row r="348" spans="1:21" x14ac:dyDescent="0.3">
      <c r="A348" s="81" t="s">
        <v>38</v>
      </c>
      <c r="B348" s="2" t="s">
        <v>2605</v>
      </c>
      <c r="C348" s="2" t="s">
        <v>2974</v>
      </c>
      <c r="D348" s="2" t="s">
        <v>2883</v>
      </c>
      <c r="E348" s="2" t="s">
        <v>2975</v>
      </c>
      <c r="F348" s="2" t="s">
        <v>1296</v>
      </c>
      <c r="G348" s="2" t="s">
        <v>2976</v>
      </c>
      <c r="H348" s="2" t="s">
        <v>2977</v>
      </c>
      <c r="I348" s="2" t="s">
        <v>1296</v>
      </c>
      <c r="J348" s="20" t="s">
        <v>2809</v>
      </c>
      <c r="K348" s="20">
        <v>2679.4</v>
      </c>
      <c r="L348" s="2" t="s">
        <v>2978</v>
      </c>
      <c r="M348" s="2"/>
      <c r="N348" s="2"/>
      <c r="O348" s="2" t="s">
        <v>2962</v>
      </c>
      <c r="P348" s="2" t="s">
        <v>2950</v>
      </c>
      <c r="Q348" s="2"/>
      <c r="R348" s="2" t="s">
        <v>28</v>
      </c>
      <c r="S348" s="2"/>
      <c r="T348" s="18" t="s">
        <v>38</v>
      </c>
      <c r="U348" s="18" t="s">
        <v>2956</v>
      </c>
    </row>
    <row r="349" spans="1:21" ht="72" x14ac:dyDescent="0.3">
      <c r="A349" s="81" t="s">
        <v>1432</v>
      </c>
      <c r="B349" s="27" t="s">
        <v>2979</v>
      </c>
      <c r="C349" s="2" t="s">
        <v>2980</v>
      </c>
      <c r="D349" s="2" t="s">
        <v>2796</v>
      </c>
      <c r="E349" s="2" t="s">
        <v>2981</v>
      </c>
      <c r="F349" s="2" t="s">
        <v>1462</v>
      </c>
      <c r="G349" s="19">
        <v>246588813</v>
      </c>
      <c r="H349" s="2" t="s">
        <v>2775</v>
      </c>
      <c r="I349" s="2" t="s">
        <v>1462</v>
      </c>
      <c r="J349" s="20" t="s">
        <v>2982</v>
      </c>
      <c r="K349" s="20">
        <v>485.57</v>
      </c>
      <c r="L349" s="2" t="s">
        <v>2983</v>
      </c>
      <c r="M349" s="5">
        <v>22</v>
      </c>
      <c r="N349" s="5">
        <v>20</v>
      </c>
      <c r="O349" s="2" t="s">
        <v>2943</v>
      </c>
      <c r="P349" s="2" t="s">
        <v>2935</v>
      </c>
      <c r="Q349" s="2" t="s">
        <v>2984</v>
      </c>
      <c r="R349" s="2" t="s">
        <v>121</v>
      </c>
      <c r="S349" s="27" t="s">
        <v>2985</v>
      </c>
      <c r="T349" s="343" t="s">
        <v>2986</v>
      </c>
      <c r="U349" s="343" t="s">
        <v>2987</v>
      </c>
    </row>
    <row r="350" spans="1:21" x14ac:dyDescent="0.3">
      <c r="A350" s="81" t="s">
        <v>38</v>
      </c>
      <c r="B350" s="27" t="s">
        <v>2963</v>
      </c>
      <c r="C350" s="2" t="s">
        <v>2988</v>
      </c>
      <c r="D350" s="2" t="s">
        <v>2548</v>
      </c>
      <c r="E350" s="2" t="s">
        <v>2989</v>
      </c>
      <c r="F350" s="2" t="s">
        <v>1232</v>
      </c>
      <c r="G350" s="490" t="s">
        <v>2990</v>
      </c>
      <c r="H350" s="2" t="s">
        <v>2781</v>
      </c>
      <c r="I350" s="2" t="s">
        <v>1232</v>
      </c>
      <c r="J350" s="20" t="s">
        <v>205</v>
      </c>
      <c r="K350" s="20">
        <v>50</v>
      </c>
      <c r="L350" s="6" t="s">
        <v>2991</v>
      </c>
      <c r="M350" s="5">
        <v>2</v>
      </c>
      <c r="N350" s="5">
        <v>20</v>
      </c>
      <c r="O350" s="2" t="s">
        <v>2992</v>
      </c>
      <c r="P350" s="2" t="s">
        <v>2993</v>
      </c>
      <c r="Q350" s="2" t="s">
        <v>2994</v>
      </c>
      <c r="R350" s="2" t="s">
        <v>28</v>
      </c>
      <c r="S350" s="2"/>
      <c r="T350" s="18" t="s">
        <v>38</v>
      </c>
      <c r="U350" s="18" t="s">
        <v>2995</v>
      </c>
    </row>
    <row r="351" spans="1:21" ht="43.8" x14ac:dyDescent="0.3">
      <c r="A351" s="81" t="s">
        <v>38</v>
      </c>
      <c r="B351" s="27" t="s">
        <v>1556</v>
      </c>
      <c r="C351" s="2" t="s">
        <v>2996</v>
      </c>
      <c r="D351" s="2" t="s">
        <v>2753</v>
      </c>
      <c r="E351" s="2" t="s">
        <v>2997</v>
      </c>
      <c r="F351" s="2" t="s">
        <v>2222</v>
      </c>
      <c r="G351" s="19">
        <v>246754762</v>
      </c>
      <c r="H351" s="2" t="s">
        <v>2727</v>
      </c>
      <c r="I351" s="2" t="s">
        <v>2998</v>
      </c>
      <c r="J351" s="20" t="s">
        <v>1459</v>
      </c>
      <c r="K351" s="20">
        <v>119.78</v>
      </c>
      <c r="L351" s="2" t="s">
        <v>2999</v>
      </c>
      <c r="M351" s="5">
        <v>4</v>
      </c>
      <c r="N351" s="5">
        <v>20</v>
      </c>
      <c r="O351" s="2" t="s">
        <v>2961</v>
      </c>
      <c r="P351" s="2" t="s">
        <v>3000</v>
      </c>
      <c r="Q351" s="2" t="s">
        <v>3001</v>
      </c>
      <c r="R351" s="2" t="s">
        <v>3002</v>
      </c>
      <c r="S351" s="498" t="s">
        <v>3003</v>
      </c>
      <c r="T351" s="343" t="s">
        <v>3004</v>
      </c>
      <c r="U351" s="343" t="s">
        <v>3005</v>
      </c>
    </row>
    <row r="352" spans="1:21" ht="43.2" x14ac:dyDescent="0.3">
      <c r="A352" s="81" t="s">
        <v>60</v>
      </c>
      <c r="B352" s="261" t="s">
        <v>3006</v>
      </c>
      <c r="C352" s="252" t="s">
        <v>3007</v>
      </c>
      <c r="D352" s="252" t="s">
        <v>2949</v>
      </c>
      <c r="E352" s="252" t="s">
        <v>3008</v>
      </c>
      <c r="F352" s="252" t="s">
        <v>1296</v>
      </c>
      <c r="G352" s="252" t="s">
        <v>3009</v>
      </c>
      <c r="H352" s="252" t="s">
        <v>2935</v>
      </c>
      <c r="I352" s="252" t="s">
        <v>1296</v>
      </c>
      <c r="J352" s="252" t="s">
        <v>3010</v>
      </c>
      <c r="K352" s="300" t="s">
        <v>3011</v>
      </c>
      <c r="L352" s="252" t="s">
        <v>3012</v>
      </c>
      <c r="M352" s="252">
        <v>1</v>
      </c>
      <c r="N352" s="252"/>
      <c r="O352" s="252" t="s">
        <v>2962</v>
      </c>
      <c r="P352" s="252" t="s">
        <v>2950</v>
      </c>
      <c r="Q352" s="252"/>
      <c r="R352" s="252" t="s">
        <v>121</v>
      </c>
      <c r="S352" s="252"/>
      <c r="T352" s="18" t="s">
        <v>38</v>
      </c>
      <c r="U352" s="18" t="s">
        <v>3013</v>
      </c>
    </row>
    <row r="353" spans="1:22" ht="43.2" x14ac:dyDescent="0.3">
      <c r="A353" s="81" t="s">
        <v>38</v>
      </c>
      <c r="B353" s="36" t="s">
        <v>3014</v>
      </c>
      <c r="C353" s="492" t="s">
        <v>3015</v>
      </c>
      <c r="D353" s="2" t="s">
        <v>2705</v>
      </c>
      <c r="E353" s="6" t="s">
        <v>3016</v>
      </c>
      <c r="F353" s="2" t="s">
        <v>1904</v>
      </c>
      <c r="G353" s="236">
        <v>247697383</v>
      </c>
      <c r="H353" s="2" t="s">
        <v>2850</v>
      </c>
      <c r="I353" s="2" t="s">
        <v>1904</v>
      </c>
      <c r="J353" s="20" t="s">
        <v>3017</v>
      </c>
      <c r="K353" s="20">
        <v>504.28500000000003</v>
      </c>
      <c r="L353" s="2" t="s">
        <v>3018</v>
      </c>
      <c r="M353" s="5">
        <v>21</v>
      </c>
      <c r="N353" s="5">
        <v>20</v>
      </c>
      <c r="O353" s="2" t="s">
        <v>2935</v>
      </c>
      <c r="P353" s="2" t="s">
        <v>3013</v>
      </c>
      <c r="Q353" s="2" t="s">
        <v>3019</v>
      </c>
      <c r="R353" s="2" t="s">
        <v>28</v>
      </c>
      <c r="S353" s="2" t="s">
        <v>2973</v>
      </c>
      <c r="T353" s="343" t="s">
        <v>3020</v>
      </c>
      <c r="U353" s="343" t="s">
        <v>3021</v>
      </c>
    </row>
    <row r="354" spans="1:22" x14ac:dyDescent="0.3">
      <c r="A354" s="81" t="s">
        <v>60</v>
      </c>
      <c r="B354" s="27" t="s">
        <v>2963</v>
      </c>
      <c r="C354" s="2" t="s">
        <v>3022</v>
      </c>
      <c r="D354" s="2" t="s">
        <v>2475</v>
      </c>
      <c r="E354" s="2" t="s">
        <v>3023</v>
      </c>
      <c r="F354" s="2" t="s">
        <v>3024</v>
      </c>
      <c r="G354" s="2" t="s">
        <v>3025</v>
      </c>
      <c r="H354" s="2" t="s">
        <v>2751</v>
      </c>
      <c r="I354" s="2" t="s">
        <v>1232</v>
      </c>
      <c r="J354" s="20" t="s">
        <v>205</v>
      </c>
      <c r="K354" s="20">
        <v>50</v>
      </c>
      <c r="L354" s="2" t="s">
        <v>2991</v>
      </c>
      <c r="M354" s="44">
        <v>2</v>
      </c>
      <c r="N354" s="44">
        <v>20</v>
      </c>
      <c r="O354" s="2" t="s">
        <v>3026</v>
      </c>
      <c r="P354" s="2" t="s">
        <v>2973</v>
      </c>
      <c r="Q354" s="2" t="s">
        <v>3027</v>
      </c>
      <c r="R354" s="2" t="s">
        <v>28</v>
      </c>
      <c r="S354" s="2" t="s">
        <v>3027</v>
      </c>
      <c r="T354" s="18" t="s">
        <v>2772</v>
      </c>
      <c r="U354" s="18" t="s">
        <v>3027</v>
      </c>
    </row>
    <row r="355" spans="1:22" ht="115.2" x14ac:dyDescent="0.3">
      <c r="A355" s="81" t="s">
        <v>38</v>
      </c>
      <c r="B355" s="36" t="s">
        <v>2864</v>
      </c>
      <c r="C355" s="510" t="s">
        <v>3028</v>
      </c>
      <c r="D355" s="2" t="s">
        <v>2758</v>
      </c>
      <c r="E355" s="6" t="s">
        <v>3029</v>
      </c>
      <c r="F355" s="2" t="s">
        <v>1462</v>
      </c>
      <c r="G355" s="493">
        <v>247038413</v>
      </c>
      <c r="H355" s="2" t="s">
        <v>2775</v>
      </c>
      <c r="I355" s="2" t="s">
        <v>1462</v>
      </c>
      <c r="J355" s="20" t="s">
        <v>137</v>
      </c>
      <c r="K355" s="8">
        <v>549.70000000000005</v>
      </c>
      <c r="L355" s="2" t="s">
        <v>3030</v>
      </c>
      <c r="M355" s="5">
        <v>20</v>
      </c>
      <c r="N355" s="5">
        <v>40</v>
      </c>
      <c r="O355" s="2" t="s">
        <v>3031</v>
      </c>
      <c r="P355" s="266" t="s">
        <v>3032</v>
      </c>
      <c r="Q355" s="266" t="s">
        <v>3033</v>
      </c>
      <c r="R355" s="266" t="s">
        <v>3034</v>
      </c>
      <c r="S355" s="2" t="s">
        <v>2973</v>
      </c>
      <c r="T355" s="343" t="s">
        <v>3035</v>
      </c>
      <c r="U355" s="343" t="s">
        <v>3036</v>
      </c>
      <c r="V355" s="315" t="s">
        <v>3037</v>
      </c>
    </row>
    <row r="356" spans="1:22" ht="43.2" x14ac:dyDescent="0.3">
      <c r="A356" s="81" t="s">
        <v>38</v>
      </c>
      <c r="B356" s="6" t="s">
        <v>3038</v>
      </c>
      <c r="C356" s="453" t="s">
        <v>3039</v>
      </c>
      <c r="D356" s="2" t="s">
        <v>2475</v>
      </c>
      <c r="E356" s="6">
        <v>18092024</v>
      </c>
      <c r="F356" s="2" t="s">
        <v>3040</v>
      </c>
      <c r="G356" s="453" t="s">
        <v>3041</v>
      </c>
      <c r="H356" s="2" t="s">
        <v>2705</v>
      </c>
      <c r="I356" s="445" t="s">
        <v>3040</v>
      </c>
      <c r="J356" s="20" t="s">
        <v>3042</v>
      </c>
      <c r="K356" s="20">
        <v>3</v>
      </c>
      <c r="L356" s="6" t="s">
        <v>3043</v>
      </c>
      <c r="M356" s="5">
        <v>1</v>
      </c>
      <c r="N356" s="34">
        <v>40</v>
      </c>
      <c r="O356" s="444" t="s">
        <v>2962</v>
      </c>
      <c r="P356" s="385" t="s">
        <v>2994</v>
      </c>
      <c r="Q356" s="444" t="s">
        <v>3044</v>
      </c>
      <c r="R356" s="2" t="s">
        <v>28</v>
      </c>
      <c r="S356" s="411" t="s">
        <v>3045</v>
      </c>
      <c r="T356" s="343" t="s">
        <v>3046</v>
      </c>
      <c r="U356" s="343" t="s">
        <v>3047</v>
      </c>
    </row>
    <row r="357" spans="1:22" x14ac:dyDescent="0.3">
      <c r="A357" s="81" t="s">
        <v>38</v>
      </c>
      <c r="B357" s="6" t="s">
        <v>3038</v>
      </c>
      <c r="C357" s="453" t="s">
        <v>3039</v>
      </c>
      <c r="D357" s="2" t="s">
        <v>2475</v>
      </c>
      <c r="E357" s="6">
        <v>18092024</v>
      </c>
      <c r="F357" s="2" t="s">
        <v>3040</v>
      </c>
      <c r="G357" s="453" t="s">
        <v>3041</v>
      </c>
      <c r="H357" s="2" t="s">
        <v>2705</v>
      </c>
      <c r="I357" s="446" t="s">
        <v>3040</v>
      </c>
      <c r="J357" s="20" t="s">
        <v>3048</v>
      </c>
      <c r="K357" s="20">
        <v>17</v>
      </c>
      <c r="L357" s="6" t="s">
        <v>3049</v>
      </c>
      <c r="M357" s="5">
        <v>1</v>
      </c>
      <c r="N357" s="34">
        <v>40</v>
      </c>
      <c r="O357" s="444" t="s">
        <v>2962</v>
      </c>
      <c r="P357" s="385" t="s">
        <v>2994</v>
      </c>
      <c r="Q357" s="444" t="s">
        <v>3044</v>
      </c>
      <c r="R357" s="2" t="s">
        <v>28</v>
      </c>
      <c r="S357" s="2"/>
      <c r="T357" s="18" t="s">
        <v>38</v>
      </c>
      <c r="U357" s="18" t="s">
        <v>3047</v>
      </c>
    </row>
    <row r="358" spans="1:22" x14ac:dyDescent="0.3">
      <c r="A358" s="81" t="s">
        <v>38</v>
      </c>
      <c r="B358" s="27" t="s">
        <v>130</v>
      </c>
      <c r="C358" s="2" t="s">
        <v>2947</v>
      </c>
      <c r="D358" s="2" t="s">
        <v>2763</v>
      </c>
      <c r="E358" s="6">
        <v>126760</v>
      </c>
      <c r="F358" s="2" t="s">
        <v>1904</v>
      </c>
      <c r="G358" s="4">
        <v>247357533</v>
      </c>
      <c r="H358" s="2" t="s">
        <v>2753</v>
      </c>
      <c r="I358" s="2" t="s">
        <v>1904</v>
      </c>
      <c r="J358" s="20" t="s">
        <v>2465</v>
      </c>
      <c r="K358" s="20">
        <v>24.962</v>
      </c>
      <c r="L358" s="6" t="s">
        <v>2948</v>
      </c>
      <c r="M358" s="5">
        <v>1</v>
      </c>
      <c r="N358" s="5">
        <v>20</v>
      </c>
      <c r="O358" s="2" t="s">
        <v>2961</v>
      </c>
      <c r="P358" s="385" t="s">
        <v>2984</v>
      </c>
      <c r="Q358" s="2" t="s">
        <v>3050</v>
      </c>
      <c r="R358" s="2" t="s">
        <v>28</v>
      </c>
      <c r="S358" s="2" t="s">
        <v>2825</v>
      </c>
      <c r="T358" s="18" t="s">
        <v>38</v>
      </c>
      <c r="U358" s="18" t="s">
        <v>3047</v>
      </c>
    </row>
    <row r="359" spans="1:22" ht="28.8" x14ac:dyDescent="0.3">
      <c r="A359" s="81" t="s">
        <v>38</v>
      </c>
      <c r="B359" s="27" t="s">
        <v>157</v>
      </c>
      <c r="C359" s="491" t="s">
        <v>3051</v>
      </c>
      <c r="D359" s="2" t="s">
        <v>2839</v>
      </c>
      <c r="E359" s="470">
        <v>24092312</v>
      </c>
      <c r="F359" s="2" t="s">
        <v>1904</v>
      </c>
      <c r="G359" s="19">
        <v>246521263</v>
      </c>
      <c r="H359" s="2" t="s">
        <v>2777</v>
      </c>
      <c r="I359" s="2" t="s">
        <v>1904</v>
      </c>
      <c r="J359" s="20" t="s">
        <v>2465</v>
      </c>
      <c r="K359" s="20">
        <v>996.22400000000005</v>
      </c>
      <c r="L359" s="2" t="s">
        <v>3052</v>
      </c>
      <c r="M359" s="5">
        <v>45</v>
      </c>
      <c r="N359" s="5">
        <v>20</v>
      </c>
      <c r="O359" s="2" t="s">
        <v>2892</v>
      </c>
      <c r="P359" s="2" t="s">
        <v>2984</v>
      </c>
      <c r="Q359" s="2" t="s">
        <v>3050</v>
      </c>
      <c r="R359" s="2" t="s">
        <v>28</v>
      </c>
      <c r="S359" s="2" t="s">
        <v>2973</v>
      </c>
      <c r="T359" s="343" t="s">
        <v>3053</v>
      </c>
      <c r="U359" s="343" t="s">
        <v>3054</v>
      </c>
    </row>
    <row r="360" spans="1:22" ht="43.2" x14ac:dyDescent="0.3">
      <c r="A360" s="81" t="s">
        <v>38</v>
      </c>
      <c r="B360" s="473" t="s">
        <v>3055</v>
      </c>
      <c r="C360" s="21" t="s">
        <v>3056</v>
      </c>
      <c r="D360" s="2" t="s">
        <v>2752</v>
      </c>
      <c r="E360" s="189" t="s">
        <v>3057</v>
      </c>
      <c r="F360" s="2" t="s">
        <v>1232</v>
      </c>
      <c r="G360" s="21">
        <v>248124283</v>
      </c>
      <c r="H360" s="2" t="s">
        <v>2844</v>
      </c>
      <c r="I360" s="2" t="s">
        <v>1232</v>
      </c>
      <c r="J360" s="7" t="s">
        <v>102</v>
      </c>
      <c r="K360" s="8">
        <v>27</v>
      </c>
      <c r="L360" s="494" t="s">
        <v>3058</v>
      </c>
      <c r="M360" s="5">
        <v>1</v>
      </c>
      <c r="N360" s="5">
        <v>40</v>
      </c>
      <c r="O360" s="2" t="s">
        <v>3059</v>
      </c>
      <c r="P360" s="2" t="s">
        <v>3060</v>
      </c>
      <c r="Q360" s="2" t="s">
        <v>3061</v>
      </c>
      <c r="R360" s="2" t="s">
        <v>28</v>
      </c>
      <c r="S360" s="411" t="s">
        <v>3045</v>
      </c>
      <c r="T360" s="74" t="s">
        <v>38</v>
      </c>
      <c r="U360" s="74" t="s">
        <v>3047</v>
      </c>
    </row>
    <row r="361" spans="1:22" x14ac:dyDescent="0.3">
      <c r="A361" s="81" t="s">
        <v>38</v>
      </c>
      <c r="B361" s="27" t="s">
        <v>1556</v>
      </c>
      <c r="C361" s="2" t="s">
        <v>2996</v>
      </c>
      <c r="D361" s="2" t="s">
        <v>2753</v>
      </c>
      <c r="E361" s="2" t="s">
        <v>2997</v>
      </c>
      <c r="F361" s="2" t="s">
        <v>2222</v>
      </c>
      <c r="G361" s="19">
        <v>245529167</v>
      </c>
      <c r="H361" s="2" t="s">
        <v>2624</v>
      </c>
      <c r="I361" s="2" t="s">
        <v>2998</v>
      </c>
      <c r="J361" s="20" t="s">
        <v>1459</v>
      </c>
      <c r="K361" s="20">
        <v>191.1</v>
      </c>
      <c r="L361" s="2" t="s">
        <v>2999</v>
      </c>
      <c r="M361" s="5">
        <v>8</v>
      </c>
      <c r="N361" s="5">
        <v>20</v>
      </c>
      <c r="O361" s="2" t="s">
        <v>3031</v>
      </c>
      <c r="P361" s="2" t="s">
        <v>3013</v>
      </c>
      <c r="Q361" s="2" t="s">
        <v>3019</v>
      </c>
      <c r="R361" s="2" t="s">
        <v>28</v>
      </c>
      <c r="S361" s="2" t="s">
        <v>3013</v>
      </c>
      <c r="T361" s="18" t="s">
        <v>38</v>
      </c>
      <c r="U361" s="18" t="s">
        <v>3062</v>
      </c>
    </row>
    <row r="362" spans="1:22" x14ac:dyDescent="0.3">
      <c r="A362" s="81" t="s">
        <v>38</v>
      </c>
      <c r="B362" s="27" t="s">
        <v>2963</v>
      </c>
      <c r="C362" s="2" t="s">
        <v>2988</v>
      </c>
      <c r="D362" s="2" t="s">
        <v>2548</v>
      </c>
      <c r="E362" s="2" t="s">
        <v>2989</v>
      </c>
      <c r="F362" s="2" t="s">
        <v>1232</v>
      </c>
      <c r="G362" s="392" t="s">
        <v>3063</v>
      </c>
      <c r="H362" s="2" t="s">
        <v>2751</v>
      </c>
      <c r="I362" s="2" t="s">
        <v>1232</v>
      </c>
      <c r="J362" s="20" t="s">
        <v>205</v>
      </c>
      <c r="K362" s="20">
        <v>100</v>
      </c>
      <c r="L362" s="6" t="s">
        <v>2991</v>
      </c>
      <c r="M362" s="5">
        <v>4</v>
      </c>
      <c r="N362" s="5">
        <v>20</v>
      </c>
      <c r="O362" s="2" t="s">
        <v>2915</v>
      </c>
      <c r="P362" s="2" t="s">
        <v>3064</v>
      </c>
      <c r="Q362" s="2" t="s">
        <v>3047</v>
      </c>
      <c r="R362" s="2" t="s">
        <v>28</v>
      </c>
      <c r="S362" s="2"/>
      <c r="T362" s="18" t="s">
        <v>38</v>
      </c>
      <c r="U362" s="18" t="s">
        <v>3065</v>
      </c>
    </row>
    <row r="363" spans="1:22" ht="43.8" x14ac:dyDescent="0.3">
      <c r="A363" s="81" t="s">
        <v>38</v>
      </c>
      <c r="B363" s="27" t="s">
        <v>1556</v>
      </c>
      <c r="C363" s="2" t="s">
        <v>2996</v>
      </c>
      <c r="D363" s="2" t="s">
        <v>2753</v>
      </c>
      <c r="E363" s="2" t="s">
        <v>2997</v>
      </c>
      <c r="F363" s="2" t="s">
        <v>2222</v>
      </c>
      <c r="G363" s="19">
        <v>246754762</v>
      </c>
      <c r="H363" s="2" t="s">
        <v>2727</v>
      </c>
      <c r="I363" s="2" t="s">
        <v>2998</v>
      </c>
      <c r="J363" s="20" t="s">
        <v>1459</v>
      </c>
      <c r="K363" s="20">
        <v>23.95</v>
      </c>
      <c r="L363" s="2" t="s">
        <v>2999</v>
      </c>
      <c r="M363" s="5" t="s">
        <v>3066</v>
      </c>
      <c r="N363" s="5">
        <v>20</v>
      </c>
      <c r="O363" s="2" t="s">
        <v>2961</v>
      </c>
      <c r="P363" s="2" t="s">
        <v>3064</v>
      </c>
      <c r="Q363" s="2" t="s">
        <v>3047</v>
      </c>
      <c r="R363" s="2" t="s">
        <v>3067</v>
      </c>
      <c r="S363" s="498" t="s">
        <v>3003</v>
      </c>
      <c r="T363" s="343" t="s">
        <v>38</v>
      </c>
      <c r="U363" s="343" t="s">
        <v>3065</v>
      </c>
    </row>
    <row r="364" spans="1:22" x14ac:dyDescent="0.3">
      <c r="A364" s="81" t="s">
        <v>38</v>
      </c>
      <c r="B364" s="27" t="s">
        <v>2591</v>
      </c>
      <c r="C364" s="2" t="s">
        <v>3068</v>
      </c>
      <c r="D364" s="2" t="s">
        <v>2752</v>
      </c>
      <c r="E364" s="19">
        <v>6001515758</v>
      </c>
      <c r="F364" s="2" t="s">
        <v>1318</v>
      </c>
      <c r="G364" s="2" t="s">
        <v>3069</v>
      </c>
      <c r="H364" s="2" t="s">
        <v>3059</v>
      </c>
      <c r="I364" s="2" t="s">
        <v>1318</v>
      </c>
      <c r="J364" s="20" t="s">
        <v>152</v>
      </c>
      <c r="K364" s="20">
        <v>20</v>
      </c>
      <c r="L364" s="2" t="s">
        <v>2881</v>
      </c>
      <c r="M364" s="5">
        <v>1</v>
      </c>
      <c r="N364" s="5">
        <v>20</v>
      </c>
      <c r="O364" s="2" t="s">
        <v>2950</v>
      </c>
      <c r="P364" s="2" t="s">
        <v>2995</v>
      </c>
      <c r="Q364" s="2" t="s">
        <v>3070</v>
      </c>
      <c r="R364" s="2" t="s">
        <v>28</v>
      </c>
      <c r="S364" s="2" t="s">
        <v>3071</v>
      </c>
      <c r="T364" s="18" t="s">
        <v>38</v>
      </c>
      <c r="U364" s="74" t="s">
        <v>2994</v>
      </c>
    </row>
    <row r="365" spans="1:22" ht="43.2" x14ac:dyDescent="0.3">
      <c r="A365" s="81" t="s">
        <v>38</v>
      </c>
      <c r="B365" s="36" t="s">
        <v>3014</v>
      </c>
      <c r="C365" s="2" t="s">
        <v>3072</v>
      </c>
      <c r="D365" s="2" t="s">
        <v>2764</v>
      </c>
      <c r="E365" s="2" t="s">
        <v>3073</v>
      </c>
      <c r="F365" s="2" t="s">
        <v>1904</v>
      </c>
      <c r="G365" s="19">
        <v>248114380</v>
      </c>
      <c r="H365" s="2" t="s">
        <v>3074</v>
      </c>
      <c r="I365" s="2" t="s">
        <v>1904</v>
      </c>
      <c r="J365" s="20" t="s">
        <v>3017</v>
      </c>
      <c r="K365" s="20">
        <v>453.65499999999997</v>
      </c>
      <c r="L365" s="2" t="s">
        <v>3075</v>
      </c>
      <c r="M365" s="5">
        <v>19</v>
      </c>
      <c r="N365" s="5">
        <v>20</v>
      </c>
      <c r="O365" s="2" t="s">
        <v>2950</v>
      </c>
      <c r="P365" s="2" t="s">
        <v>3076</v>
      </c>
      <c r="Q365" s="2" t="s">
        <v>3077</v>
      </c>
      <c r="R365" s="2" t="s">
        <v>28</v>
      </c>
      <c r="S365" s="2" t="s">
        <v>3001</v>
      </c>
      <c r="T365" s="509" t="s">
        <v>3078</v>
      </c>
      <c r="U365" s="313" t="s">
        <v>3079</v>
      </c>
    </row>
    <row r="366" spans="1:22" ht="43.2" x14ac:dyDescent="0.3">
      <c r="A366" s="81" t="s">
        <v>38</v>
      </c>
      <c r="B366" s="27" t="s">
        <v>2963</v>
      </c>
      <c r="C366" s="2" t="s">
        <v>3080</v>
      </c>
      <c r="D366" s="2" t="s">
        <v>2656</v>
      </c>
      <c r="E366" s="2" t="s">
        <v>3081</v>
      </c>
      <c r="F366" s="2" t="s">
        <v>1232</v>
      </c>
      <c r="G366" s="2" t="s">
        <v>3082</v>
      </c>
      <c r="H366" s="2" t="s">
        <v>2764</v>
      </c>
      <c r="I366" s="2" t="s">
        <v>1232</v>
      </c>
      <c r="J366" s="20" t="s">
        <v>205</v>
      </c>
      <c r="K366" s="20">
        <v>50</v>
      </c>
      <c r="L366" s="2" t="s">
        <v>2967</v>
      </c>
      <c r="M366" s="5">
        <v>2</v>
      </c>
      <c r="N366" s="5">
        <v>20</v>
      </c>
      <c r="O366" s="2" t="s">
        <v>2917</v>
      </c>
      <c r="P366" s="2" t="s">
        <v>3065</v>
      </c>
      <c r="Q366" s="2" t="s">
        <v>3083</v>
      </c>
      <c r="R366" s="2" t="s">
        <v>28</v>
      </c>
      <c r="S366" s="411" t="s">
        <v>3045</v>
      </c>
      <c r="T366" s="512" t="s">
        <v>3084</v>
      </c>
      <c r="U366" s="343" t="s">
        <v>3085</v>
      </c>
    </row>
    <row r="367" spans="1:22" x14ac:dyDescent="0.3">
      <c r="A367" s="81" t="s">
        <v>38</v>
      </c>
      <c r="B367" s="247" t="s">
        <v>3086</v>
      </c>
      <c r="C367" s="470" t="s">
        <v>3087</v>
      </c>
      <c r="D367" s="2"/>
      <c r="E367" s="470" t="s">
        <v>3088</v>
      </c>
      <c r="F367" s="2" t="s">
        <v>1296</v>
      </c>
      <c r="G367" s="2"/>
      <c r="H367" s="2"/>
      <c r="I367" s="2" t="s">
        <v>1296</v>
      </c>
      <c r="J367" s="247" t="s">
        <v>70</v>
      </c>
      <c r="K367" s="491">
        <v>1250</v>
      </c>
      <c r="L367" s="247" t="s">
        <v>3089</v>
      </c>
      <c r="M367" s="2"/>
      <c r="N367" s="2"/>
      <c r="O367" s="2"/>
      <c r="P367" s="2"/>
      <c r="Q367" s="2"/>
      <c r="R367" s="2" t="s">
        <v>28</v>
      </c>
      <c r="S367" s="2"/>
      <c r="T367" s="81" t="s">
        <v>38</v>
      </c>
      <c r="U367" s="313" t="s">
        <v>3090</v>
      </c>
    </row>
    <row r="368" spans="1:22" x14ac:dyDescent="0.3">
      <c r="A368" s="81" t="s">
        <v>38</v>
      </c>
      <c r="B368" s="36" t="s">
        <v>3091</v>
      </c>
      <c r="C368" s="25" t="s">
        <v>3092</v>
      </c>
      <c r="D368" s="25" t="s">
        <v>2475</v>
      </c>
      <c r="E368" s="25" t="s">
        <v>3093</v>
      </c>
      <c r="F368" s="25" t="s">
        <v>1640</v>
      </c>
      <c r="G368" s="27" t="s">
        <v>3094</v>
      </c>
      <c r="H368" s="2" t="s">
        <v>2684</v>
      </c>
      <c r="I368" s="2" t="s">
        <v>1640</v>
      </c>
      <c r="J368" s="20" t="s">
        <v>3095</v>
      </c>
      <c r="K368" s="20">
        <v>23.5</v>
      </c>
      <c r="L368" s="19">
        <v>37580</v>
      </c>
      <c r="M368" s="5">
        <v>1</v>
      </c>
      <c r="N368" s="5">
        <v>20</v>
      </c>
      <c r="O368" s="2" t="s">
        <v>2973</v>
      </c>
      <c r="P368" s="2" t="s">
        <v>3062</v>
      </c>
      <c r="Q368" s="2" t="s">
        <v>3044</v>
      </c>
      <c r="R368" s="2" t="s">
        <v>28</v>
      </c>
      <c r="S368" s="2"/>
      <c r="T368" s="81" t="s">
        <v>38</v>
      </c>
      <c r="U368" s="74" t="s">
        <v>3044</v>
      </c>
    </row>
    <row r="369" spans="1:21" ht="72" x14ac:dyDescent="0.3">
      <c r="A369" s="81" t="s">
        <v>38</v>
      </c>
      <c r="B369" s="27" t="s">
        <v>130</v>
      </c>
      <c r="C369" s="2" t="s">
        <v>3096</v>
      </c>
      <c r="D369" s="2" t="s">
        <v>2730</v>
      </c>
      <c r="E369" s="19">
        <v>127017</v>
      </c>
      <c r="F369" s="2" t="s">
        <v>1904</v>
      </c>
      <c r="G369" s="19">
        <v>247318444</v>
      </c>
      <c r="H369" s="2" t="s">
        <v>2771</v>
      </c>
      <c r="I369" s="2" t="s">
        <v>1904</v>
      </c>
      <c r="J369" s="20" t="s">
        <v>2465</v>
      </c>
      <c r="K369" s="20">
        <v>998.721</v>
      </c>
      <c r="L369" s="2" t="s">
        <v>3097</v>
      </c>
      <c r="M369" s="5" t="s">
        <v>3098</v>
      </c>
      <c r="N369" s="5">
        <v>20</v>
      </c>
      <c r="O369" s="2" t="s">
        <v>2950</v>
      </c>
      <c r="P369" s="2" t="s">
        <v>3076</v>
      </c>
      <c r="Q369" s="2" t="s">
        <v>3077</v>
      </c>
      <c r="R369" s="2" t="s">
        <v>28</v>
      </c>
      <c r="S369" s="266" t="s">
        <v>3099</v>
      </c>
      <c r="T369" s="509" t="s">
        <v>3100</v>
      </c>
      <c r="U369" s="313" t="s">
        <v>3101</v>
      </c>
    </row>
    <row r="370" spans="1:21" x14ac:dyDescent="0.3">
      <c r="A370" s="81" t="s">
        <v>55</v>
      </c>
      <c r="B370" s="20" t="s">
        <v>3102</v>
      </c>
      <c r="C370" s="2" t="s">
        <v>3103</v>
      </c>
      <c r="D370" s="2"/>
      <c r="E370" s="19">
        <v>6999202589</v>
      </c>
      <c r="F370" s="2" t="s">
        <v>1296</v>
      </c>
      <c r="G370" s="48"/>
      <c r="H370" s="20"/>
      <c r="I370" s="446" t="s">
        <v>1296</v>
      </c>
      <c r="J370" s="20" t="s">
        <v>1408</v>
      </c>
      <c r="K370" s="20">
        <v>10</v>
      </c>
      <c r="L370" s="20" t="s">
        <v>3104</v>
      </c>
      <c r="M370" s="48">
        <v>1</v>
      </c>
      <c r="N370" s="6"/>
      <c r="O370" s="2"/>
      <c r="P370" s="2" t="s">
        <v>3090</v>
      </c>
      <c r="Q370" s="2"/>
      <c r="R370" s="2" t="s">
        <v>121</v>
      </c>
      <c r="S370" s="2"/>
      <c r="T370" s="81" t="s">
        <v>55</v>
      </c>
      <c r="U370" s="74" t="s">
        <v>3044</v>
      </c>
    </row>
    <row r="371" spans="1:21" x14ac:dyDescent="0.3">
      <c r="A371" s="81" t="s">
        <v>38</v>
      </c>
      <c r="B371" s="36" t="s">
        <v>1493</v>
      </c>
      <c r="C371" s="2"/>
      <c r="D371" s="2"/>
      <c r="E371" s="6" t="s">
        <v>3105</v>
      </c>
      <c r="F371" s="2" t="s">
        <v>1296</v>
      </c>
      <c r="G371" s="19" t="s">
        <v>3106</v>
      </c>
      <c r="H371" s="2" t="s">
        <v>3107</v>
      </c>
      <c r="I371" s="2" t="s">
        <v>1296</v>
      </c>
      <c r="J371" s="20" t="s">
        <v>1496</v>
      </c>
      <c r="K371" s="8">
        <v>5</v>
      </c>
      <c r="L371" s="2" t="s">
        <v>3108</v>
      </c>
      <c r="M371" s="5">
        <v>1</v>
      </c>
      <c r="N371" s="2"/>
      <c r="O371" s="2"/>
      <c r="P371" s="2" t="s">
        <v>3109</v>
      </c>
      <c r="Q371" s="2"/>
      <c r="R371" s="2" t="s">
        <v>28</v>
      </c>
      <c r="S371" s="2"/>
      <c r="T371" s="81" t="s">
        <v>38</v>
      </c>
      <c r="U371" s="313" t="s">
        <v>3077</v>
      </c>
    </row>
    <row r="372" spans="1:21" x14ac:dyDescent="0.3">
      <c r="A372" s="81" t="s">
        <v>38</v>
      </c>
      <c r="B372" s="27" t="s">
        <v>2591</v>
      </c>
      <c r="C372" s="2" t="s">
        <v>3110</v>
      </c>
      <c r="D372" s="2" t="s">
        <v>2454</v>
      </c>
      <c r="E372" s="189">
        <v>6001515759</v>
      </c>
      <c r="F372" s="2" t="s">
        <v>1318</v>
      </c>
      <c r="G372" s="2" t="s">
        <v>3111</v>
      </c>
      <c r="H372" s="2" t="s">
        <v>2874</v>
      </c>
      <c r="I372" s="2" t="s">
        <v>1318</v>
      </c>
      <c r="J372" s="20" t="s">
        <v>152</v>
      </c>
      <c r="K372" s="20">
        <v>20</v>
      </c>
      <c r="L372" s="2" t="s">
        <v>3112</v>
      </c>
      <c r="M372" s="5">
        <v>1</v>
      </c>
      <c r="N372" s="5">
        <v>20</v>
      </c>
      <c r="O372" s="2" t="s">
        <v>2917</v>
      </c>
      <c r="P372" s="2" t="s">
        <v>3113</v>
      </c>
      <c r="Q372" s="2" t="s">
        <v>1176</v>
      </c>
      <c r="R372" s="2" t="s">
        <v>28</v>
      </c>
      <c r="S372" s="2" t="s">
        <v>2950</v>
      </c>
      <c r="T372" s="81" t="s">
        <v>38</v>
      </c>
      <c r="U372" s="74" t="s">
        <v>3077</v>
      </c>
    </row>
    <row r="373" spans="1:21" x14ac:dyDescent="0.3">
      <c r="A373" s="81" t="s">
        <v>38</v>
      </c>
      <c r="B373" s="36" t="s">
        <v>3014</v>
      </c>
      <c r="C373" s="2" t="s">
        <v>3072</v>
      </c>
      <c r="D373" s="2" t="s">
        <v>2764</v>
      </c>
      <c r="E373" s="2" t="s">
        <v>3073</v>
      </c>
      <c r="F373" s="2" t="s">
        <v>1904</v>
      </c>
      <c r="G373" s="19">
        <v>248511715</v>
      </c>
      <c r="H373" s="2" t="s">
        <v>2863</v>
      </c>
      <c r="I373" s="2" t="s">
        <v>1904</v>
      </c>
      <c r="J373" s="20" t="s">
        <v>3114</v>
      </c>
      <c r="K373" s="20">
        <v>71.194999999999993</v>
      </c>
      <c r="L373" s="2" t="s">
        <v>3115</v>
      </c>
      <c r="M373" s="5">
        <v>3</v>
      </c>
      <c r="N373" s="5">
        <v>20</v>
      </c>
      <c r="O373" s="2" t="s">
        <v>3071</v>
      </c>
      <c r="P373" s="2" t="s">
        <v>3050</v>
      </c>
      <c r="Q373" s="2" t="s">
        <v>3116</v>
      </c>
      <c r="R373" s="2" t="s">
        <v>28</v>
      </c>
      <c r="S373" s="2" t="s">
        <v>3001</v>
      </c>
      <c r="T373" s="81" t="s">
        <v>2833</v>
      </c>
      <c r="U373" s="18" t="s">
        <v>1221</v>
      </c>
    </row>
    <row r="374" spans="1:21" ht="28.8" x14ac:dyDescent="0.3">
      <c r="A374" s="81" t="s">
        <v>38</v>
      </c>
      <c r="B374" s="27" t="s">
        <v>3117</v>
      </c>
      <c r="C374" s="25" t="s">
        <v>3118</v>
      </c>
      <c r="D374" s="25" t="s">
        <v>2518</v>
      </c>
      <c r="E374" s="25" t="s">
        <v>3119</v>
      </c>
      <c r="F374" s="25" t="s">
        <v>2447</v>
      </c>
      <c r="G374" s="25" t="s">
        <v>3120</v>
      </c>
      <c r="H374" s="2" t="s">
        <v>2541</v>
      </c>
      <c r="I374" s="2" t="s">
        <v>1702</v>
      </c>
      <c r="J374" s="2" t="s">
        <v>3121</v>
      </c>
      <c r="K374" s="2">
        <v>505.95</v>
      </c>
      <c r="L374" s="2" t="s">
        <v>3122</v>
      </c>
      <c r="M374" s="5">
        <v>24</v>
      </c>
      <c r="N374" s="5">
        <v>20</v>
      </c>
      <c r="O374" s="2" t="s">
        <v>3064</v>
      </c>
      <c r="P374" s="2" t="s">
        <v>3083</v>
      </c>
      <c r="Q374" s="2" t="s">
        <v>3123</v>
      </c>
      <c r="R374" s="2" t="s">
        <v>28</v>
      </c>
      <c r="S374" s="2"/>
      <c r="T374" s="512" t="s">
        <v>3124</v>
      </c>
      <c r="U374" s="343" t="s">
        <v>3125</v>
      </c>
    </row>
    <row r="375" spans="1:21" x14ac:dyDescent="0.3">
      <c r="A375" s="81" t="s">
        <v>38</v>
      </c>
      <c r="B375" s="27" t="s">
        <v>3126</v>
      </c>
      <c r="C375" s="2" t="s">
        <v>3127</v>
      </c>
      <c r="D375" s="2"/>
      <c r="E375" s="2" t="s">
        <v>3128</v>
      </c>
      <c r="F375" s="2" t="s">
        <v>1232</v>
      </c>
      <c r="G375" s="19">
        <v>248675882</v>
      </c>
      <c r="H375" s="2" t="s">
        <v>2924</v>
      </c>
      <c r="I375" s="2" t="s">
        <v>1232</v>
      </c>
      <c r="J375" s="20" t="s">
        <v>2149</v>
      </c>
      <c r="K375" s="20">
        <v>27</v>
      </c>
      <c r="L375" s="2" t="s">
        <v>3129</v>
      </c>
      <c r="M375" s="5">
        <v>1</v>
      </c>
      <c r="N375" s="5">
        <v>40</v>
      </c>
      <c r="O375" s="2" t="s">
        <v>3130</v>
      </c>
      <c r="P375" s="2" t="s">
        <v>3077</v>
      </c>
      <c r="Q375" s="2" t="s">
        <v>3131</v>
      </c>
      <c r="R375" s="2" t="s">
        <v>28</v>
      </c>
      <c r="S375" s="2"/>
      <c r="T375" s="81" t="s">
        <v>38</v>
      </c>
      <c r="U375" s="18" t="s">
        <v>3132</v>
      </c>
    </row>
    <row r="376" spans="1:21" ht="43.2" x14ac:dyDescent="0.3">
      <c r="A376" s="81" t="s">
        <v>60</v>
      </c>
      <c r="B376" s="261" t="s">
        <v>3133</v>
      </c>
      <c r="C376" s="252" t="s">
        <v>3134</v>
      </c>
      <c r="D376" s="252"/>
      <c r="E376" s="45" t="s">
        <v>3135</v>
      </c>
      <c r="F376" s="252"/>
      <c r="G376" s="251">
        <v>248676124</v>
      </c>
      <c r="H376" s="252" t="s">
        <v>2924</v>
      </c>
      <c r="I376" s="252" t="s">
        <v>1435</v>
      </c>
      <c r="J376" s="252" t="s">
        <v>2178</v>
      </c>
      <c r="K376" s="252">
        <v>27</v>
      </c>
      <c r="L376" s="252" t="s">
        <v>3129</v>
      </c>
      <c r="M376" s="252">
        <v>1</v>
      </c>
      <c r="N376" s="252">
        <v>40</v>
      </c>
      <c r="O376" s="252" t="s">
        <v>3130</v>
      </c>
      <c r="P376" s="252" t="s">
        <v>3136</v>
      </c>
      <c r="Q376" s="252" t="s">
        <v>3137</v>
      </c>
      <c r="R376" s="252" t="s">
        <v>28</v>
      </c>
      <c r="S376" s="252"/>
      <c r="T376" s="282" t="s">
        <v>2772</v>
      </c>
      <c r="U376" s="282" t="s">
        <v>3132</v>
      </c>
    </row>
    <row r="377" spans="1:21" x14ac:dyDescent="0.3">
      <c r="A377" s="81" t="s">
        <v>2772</v>
      </c>
      <c r="B377" s="418" t="s">
        <v>1878</v>
      </c>
      <c r="C377" s="18" t="s">
        <v>3138</v>
      </c>
      <c r="D377" s="18" t="s">
        <v>3062</v>
      </c>
      <c r="E377" s="81" t="s">
        <v>3139</v>
      </c>
      <c r="F377" s="18" t="s">
        <v>1296</v>
      </c>
      <c r="G377" s="18" t="s">
        <v>3140</v>
      </c>
      <c r="H377" s="18" t="s">
        <v>3044</v>
      </c>
      <c r="I377" s="18" t="s">
        <v>1296</v>
      </c>
      <c r="J377" s="54" t="s">
        <v>1883</v>
      </c>
      <c r="K377" s="54">
        <v>25</v>
      </c>
      <c r="L377" s="18" t="s">
        <v>3141</v>
      </c>
      <c r="M377" s="142">
        <v>1</v>
      </c>
      <c r="O377" s="18" t="s">
        <v>3142</v>
      </c>
      <c r="P377" s="18" t="s">
        <v>3123</v>
      </c>
      <c r="Q377" s="18" t="s">
        <v>3116</v>
      </c>
      <c r="R377" s="18" t="s">
        <v>121</v>
      </c>
      <c r="S377" s="2"/>
      <c r="T377" t="s">
        <v>3143</v>
      </c>
      <c r="U377" t="s">
        <v>3116</v>
      </c>
    </row>
    <row r="378" spans="1:21" x14ac:dyDescent="0.3">
      <c r="A378" s="81" t="s">
        <v>38</v>
      </c>
      <c r="B378" s="27" t="s">
        <v>2543</v>
      </c>
      <c r="C378" s="2" t="s">
        <v>3144</v>
      </c>
      <c r="D378" s="2"/>
      <c r="E378" s="2" t="s">
        <v>3145</v>
      </c>
      <c r="F378" s="2" t="s">
        <v>1296</v>
      </c>
      <c r="G378" s="19">
        <v>202071284</v>
      </c>
      <c r="H378" s="2" t="s">
        <v>3142</v>
      </c>
      <c r="I378" s="2" t="s">
        <v>1296</v>
      </c>
      <c r="J378" s="20" t="s">
        <v>3146</v>
      </c>
      <c r="K378" s="2">
        <v>25</v>
      </c>
      <c r="L378" s="2" t="s">
        <v>2718</v>
      </c>
      <c r="M378" s="5">
        <v>1</v>
      </c>
      <c r="N378" s="2"/>
      <c r="O378" s="2" t="s">
        <v>3131</v>
      </c>
      <c r="P378" s="2" t="s">
        <v>3137</v>
      </c>
      <c r="Q378" s="2"/>
      <c r="R378" s="2" t="s">
        <v>28</v>
      </c>
      <c r="S378" s="2"/>
      <c r="T378" s="18" t="s">
        <v>38</v>
      </c>
      <c r="U378" s="18" t="s">
        <v>3132</v>
      </c>
    </row>
    <row r="379" spans="1:21" ht="57.6" x14ac:dyDescent="0.3">
      <c r="A379" s="81" t="s">
        <v>3143</v>
      </c>
      <c r="B379" s="2" t="s">
        <v>3147</v>
      </c>
      <c r="C379" s="2" t="s">
        <v>3148</v>
      </c>
      <c r="D379" s="2" t="s">
        <v>3070</v>
      </c>
      <c r="E379" s="2" t="s">
        <v>3149</v>
      </c>
      <c r="F379" s="2" t="s">
        <v>1296</v>
      </c>
      <c r="G379" s="266" t="s">
        <v>3150</v>
      </c>
      <c r="H379" s="266" t="s">
        <v>3151</v>
      </c>
      <c r="I379" s="2" t="s">
        <v>1340</v>
      </c>
      <c r="J379" s="2" t="s">
        <v>2385</v>
      </c>
      <c r="K379" s="2">
        <v>63</v>
      </c>
      <c r="L379" s="2" t="s">
        <v>3152</v>
      </c>
      <c r="M379" s="5"/>
      <c r="N379" s="2"/>
      <c r="O379" s="2" t="s">
        <v>3132</v>
      </c>
      <c r="P379" s="2" t="s">
        <v>3137</v>
      </c>
      <c r="Q379" s="2"/>
      <c r="R379" s="2" t="s">
        <v>28</v>
      </c>
      <c r="S379" s="2" t="s">
        <v>1221</v>
      </c>
      <c r="T379" s="343" t="s">
        <v>3153</v>
      </c>
      <c r="U379" s="343" t="s">
        <v>3154</v>
      </c>
    </row>
    <row r="380" spans="1:21" ht="43.2" x14ac:dyDescent="0.3">
      <c r="A380" s="81" t="s">
        <v>60</v>
      </c>
      <c r="B380" s="261" t="s">
        <v>2864</v>
      </c>
      <c r="C380" s="487" t="s">
        <v>3155</v>
      </c>
      <c r="D380" s="252" t="s">
        <v>2888</v>
      </c>
      <c r="E380" s="252" t="s">
        <v>3156</v>
      </c>
      <c r="F380" s="252" t="s">
        <v>1462</v>
      </c>
      <c r="G380" s="488">
        <v>249140661</v>
      </c>
      <c r="H380" s="252" t="s">
        <v>3059</v>
      </c>
      <c r="I380" s="252" t="s">
        <v>1462</v>
      </c>
      <c r="J380" s="489" t="s">
        <v>3157</v>
      </c>
      <c r="K380" s="252">
        <v>95.21</v>
      </c>
      <c r="L380" s="252" t="s">
        <v>3158</v>
      </c>
      <c r="M380" s="300">
        <v>4</v>
      </c>
      <c r="N380" s="252">
        <v>20</v>
      </c>
      <c r="O380" s="252" t="s">
        <v>3064</v>
      </c>
      <c r="P380" s="252" t="s">
        <v>3132</v>
      </c>
      <c r="Q380" s="252" t="s">
        <v>3159</v>
      </c>
      <c r="R380" s="252" t="s">
        <v>28</v>
      </c>
      <c r="S380" s="252"/>
      <c r="T380" s="282" t="s">
        <v>2772</v>
      </c>
      <c r="U380" s="282" t="s">
        <v>3160</v>
      </c>
    </row>
    <row r="381" spans="1:21" x14ac:dyDescent="0.3">
      <c r="A381" s="81" t="s">
        <v>38</v>
      </c>
      <c r="B381" s="36" t="s">
        <v>1493</v>
      </c>
      <c r="C381" s="2" t="s">
        <v>2250</v>
      </c>
      <c r="D381" s="2" t="s">
        <v>3070</v>
      </c>
      <c r="E381" s="6" t="s">
        <v>3161</v>
      </c>
      <c r="F381" s="2" t="s">
        <v>1296</v>
      </c>
      <c r="G381" s="19" t="s">
        <v>3162</v>
      </c>
      <c r="H381" s="2" t="s">
        <v>3163</v>
      </c>
      <c r="I381" s="2" t="s">
        <v>1296</v>
      </c>
      <c r="J381" s="20" t="s">
        <v>893</v>
      </c>
      <c r="K381" s="8">
        <v>5</v>
      </c>
      <c r="L381" s="2" t="s">
        <v>3164</v>
      </c>
      <c r="M381" s="5">
        <v>1</v>
      </c>
      <c r="N381" s="2"/>
      <c r="O381" s="2" t="s">
        <v>3132</v>
      </c>
      <c r="P381" s="2" t="s">
        <v>3160</v>
      </c>
      <c r="Q381" s="2"/>
      <c r="R381" s="2" t="s">
        <v>28</v>
      </c>
      <c r="S381" s="2"/>
      <c r="T381" s="18" t="s">
        <v>38</v>
      </c>
      <c r="U381" s="18" t="s">
        <v>3165</v>
      </c>
    </row>
    <row r="382" spans="1:21" ht="28.8" x14ac:dyDescent="0.3">
      <c r="A382" s="81" t="s">
        <v>38</v>
      </c>
      <c r="B382" s="36" t="s">
        <v>996</v>
      </c>
      <c r="C382" s="452" t="s">
        <v>3166</v>
      </c>
      <c r="D382" s="2" t="s">
        <v>2548</v>
      </c>
      <c r="E382" s="6">
        <v>150768</v>
      </c>
      <c r="F382" s="2" t="s">
        <v>1702</v>
      </c>
      <c r="G382" s="454" t="s">
        <v>3167</v>
      </c>
      <c r="H382" s="2" t="s">
        <v>3168</v>
      </c>
      <c r="I382" s="2" t="s">
        <v>1702</v>
      </c>
      <c r="J382" s="20" t="s">
        <v>2135</v>
      </c>
      <c r="K382" s="20">
        <v>298.82900000000001</v>
      </c>
      <c r="L382" s="20" t="s">
        <v>3169</v>
      </c>
      <c r="M382" s="5">
        <v>12</v>
      </c>
      <c r="N382" s="5">
        <v>20</v>
      </c>
      <c r="O382" s="2" t="s">
        <v>3065</v>
      </c>
      <c r="P382" s="19" t="s">
        <v>3131</v>
      </c>
      <c r="Q382" s="2" t="s">
        <v>3170</v>
      </c>
      <c r="R382" s="2" t="s">
        <v>28</v>
      </c>
      <c r="S382" s="2"/>
      <c r="T382" s="343" t="s">
        <v>3171</v>
      </c>
      <c r="U382" s="343" t="s">
        <v>3172</v>
      </c>
    </row>
    <row r="383" spans="1:21" ht="144" x14ac:dyDescent="0.3">
      <c r="A383" s="81" t="s">
        <v>38</v>
      </c>
      <c r="B383" s="27" t="s">
        <v>130</v>
      </c>
      <c r="C383" s="2" t="s">
        <v>3096</v>
      </c>
      <c r="D383" s="2" t="s">
        <v>2730</v>
      </c>
      <c r="E383" s="19">
        <v>127017</v>
      </c>
      <c r="F383" s="2" t="s">
        <v>1904</v>
      </c>
      <c r="G383" s="19">
        <v>247318444</v>
      </c>
      <c r="H383" s="2" t="s">
        <v>2771</v>
      </c>
      <c r="I383" s="2" t="s">
        <v>1904</v>
      </c>
      <c r="J383" s="20" t="s">
        <v>2465</v>
      </c>
      <c r="K383" s="20">
        <v>49.92</v>
      </c>
      <c r="L383" s="2" t="s">
        <v>3097</v>
      </c>
      <c r="M383" s="5" t="s">
        <v>3173</v>
      </c>
      <c r="N383" s="5">
        <v>20</v>
      </c>
      <c r="O383" s="2" t="s">
        <v>2950</v>
      </c>
      <c r="P383" s="266" t="s">
        <v>3174</v>
      </c>
      <c r="Q383" s="266" t="s">
        <v>3175</v>
      </c>
      <c r="R383" s="2" t="s">
        <v>28</v>
      </c>
      <c r="S383" s="266" t="s">
        <v>3176</v>
      </c>
      <c r="T383" s="509" t="s">
        <v>3177</v>
      </c>
      <c r="U383" s="313" t="s">
        <v>3178</v>
      </c>
    </row>
    <row r="384" spans="1:21" ht="72" x14ac:dyDescent="0.3">
      <c r="A384" s="81" t="s">
        <v>60</v>
      </c>
      <c r="B384" s="261" t="s">
        <v>2427</v>
      </c>
      <c r="C384" s="252" t="s">
        <v>3179</v>
      </c>
      <c r="D384" s="252" t="s">
        <v>2764</v>
      </c>
      <c r="E384" s="252" t="s">
        <v>3180</v>
      </c>
      <c r="F384" s="252" t="s">
        <v>1462</v>
      </c>
      <c r="G384" s="251">
        <v>248169250</v>
      </c>
      <c r="H384" s="252" t="s">
        <v>2828</v>
      </c>
      <c r="I384" s="252" t="s">
        <v>1462</v>
      </c>
      <c r="J384" s="252" t="s">
        <v>3181</v>
      </c>
      <c r="K384" s="252">
        <v>261.24</v>
      </c>
      <c r="L384" s="252" t="s">
        <v>3182</v>
      </c>
      <c r="M384" s="300" t="s">
        <v>3183</v>
      </c>
      <c r="N384" s="252">
        <v>20</v>
      </c>
      <c r="O384" s="252" t="s">
        <v>3130</v>
      </c>
      <c r="P384" s="252" t="s">
        <v>3184</v>
      </c>
      <c r="Q384" s="252" t="s">
        <v>3185</v>
      </c>
      <c r="R384" s="252" t="s">
        <v>3186</v>
      </c>
      <c r="S384" s="252" t="s">
        <v>3187</v>
      </c>
      <c r="T384" s="282" t="s">
        <v>3188</v>
      </c>
      <c r="U384" s="282" t="s">
        <v>3189</v>
      </c>
    </row>
    <row r="385" spans="1:21" x14ac:dyDescent="0.3">
      <c r="A385" s="81" t="s">
        <v>287</v>
      </c>
      <c r="B385" s="27" t="s">
        <v>3190</v>
      </c>
      <c r="C385" s="2" t="s">
        <v>3191</v>
      </c>
      <c r="D385" s="2" t="s">
        <v>3065</v>
      </c>
      <c r="E385" s="2" t="s">
        <v>3192</v>
      </c>
      <c r="F385" s="2" t="s">
        <v>1296</v>
      </c>
      <c r="G385" s="2" t="s">
        <v>3193</v>
      </c>
      <c r="H385" s="2" t="s">
        <v>3116</v>
      </c>
      <c r="I385" s="2" t="s">
        <v>3194</v>
      </c>
      <c r="J385" s="2" t="s">
        <v>3195</v>
      </c>
      <c r="K385" s="2">
        <v>20</v>
      </c>
      <c r="L385" s="2" t="s">
        <v>3196</v>
      </c>
      <c r="M385" s="5">
        <v>1</v>
      </c>
      <c r="N385" s="2"/>
      <c r="O385" s="2" t="s">
        <v>3184</v>
      </c>
      <c r="P385" s="2" t="s">
        <v>3197</v>
      </c>
      <c r="Q385" s="2"/>
      <c r="R385" s="2" t="s">
        <v>121</v>
      </c>
      <c r="S385" s="2"/>
      <c r="T385" s="18" t="s">
        <v>287</v>
      </c>
      <c r="U385" s="18" t="s">
        <v>3198</v>
      </c>
    </row>
    <row r="386" spans="1:21" ht="43.2" x14ac:dyDescent="0.3">
      <c r="A386" s="81" t="s">
        <v>60</v>
      </c>
      <c r="B386" s="513" t="s">
        <v>2427</v>
      </c>
      <c r="C386" s="252" t="s">
        <v>3199</v>
      </c>
      <c r="D386" s="252"/>
      <c r="E386" s="2" t="s">
        <v>3200</v>
      </c>
      <c r="F386" s="252" t="s">
        <v>1462</v>
      </c>
      <c r="G386" s="19">
        <v>249636296</v>
      </c>
      <c r="H386" s="252" t="s">
        <v>3201</v>
      </c>
      <c r="I386" s="252" t="s">
        <v>1462</v>
      </c>
      <c r="J386" s="252" t="s">
        <v>3202</v>
      </c>
      <c r="K386" s="252">
        <v>122.48</v>
      </c>
      <c r="L386" s="252" t="s">
        <v>3203</v>
      </c>
      <c r="M386" s="300">
        <v>5</v>
      </c>
      <c r="N386" s="252">
        <v>20</v>
      </c>
      <c r="O386" s="252" t="s">
        <v>3090</v>
      </c>
      <c r="P386" s="252" t="s">
        <v>3160</v>
      </c>
      <c r="Q386" s="252" t="s">
        <v>3204</v>
      </c>
      <c r="R386" s="252" t="s">
        <v>28</v>
      </c>
      <c r="S386" s="252"/>
      <c r="T386" s="282" t="s">
        <v>2772</v>
      </c>
      <c r="U386" s="282" t="s">
        <v>3170</v>
      </c>
    </row>
    <row r="387" spans="1:21" x14ac:dyDescent="0.3">
      <c r="A387" s="81" t="s">
        <v>38</v>
      </c>
      <c r="B387" s="27" t="s">
        <v>3205</v>
      </c>
      <c r="C387" s="2" t="s">
        <v>3206</v>
      </c>
      <c r="D387" s="2" t="s">
        <v>3123</v>
      </c>
      <c r="E387" s="2" t="s">
        <v>3207</v>
      </c>
      <c r="F387" s="2" t="s">
        <v>1296</v>
      </c>
      <c r="G387" s="2" t="s">
        <v>3208</v>
      </c>
      <c r="H387" s="2" t="s">
        <v>3131</v>
      </c>
      <c r="I387" s="2" t="s">
        <v>1296</v>
      </c>
      <c r="J387" s="2" t="s">
        <v>3209</v>
      </c>
      <c r="K387" s="44">
        <v>5</v>
      </c>
      <c r="L387" s="2" t="s">
        <v>3210</v>
      </c>
      <c r="M387" s="5">
        <v>1</v>
      </c>
      <c r="N387" s="2"/>
      <c r="O387" s="2" t="s">
        <v>3211</v>
      </c>
      <c r="P387" s="2" t="s">
        <v>3212</v>
      </c>
      <c r="Q387" s="2"/>
      <c r="R387" s="2" t="s">
        <v>28</v>
      </c>
      <c r="S387" s="2"/>
      <c r="T387" s="18" t="s">
        <v>38</v>
      </c>
      <c r="U387" s="18" t="s">
        <v>3212</v>
      </c>
    </row>
    <row r="388" spans="1:21" x14ac:dyDescent="0.3">
      <c r="A388" s="81" t="s">
        <v>2772</v>
      </c>
      <c r="B388" s="27" t="s">
        <v>1878</v>
      </c>
      <c r="C388" s="2" t="s">
        <v>3138</v>
      </c>
      <c r="D388" s="2" t="s">
        <v>3062</v>
      </c>
      <c r="E388" s="2" t="s">
        <v>3139</v>
      </c>
      <c r="F388" s="2" t="s">
        <v>1296</v>
      </c>
      <c r="G388" s="2" t="s">
        <v>3213</v>
      </c>
      <c r="H388" s="2" t="s">
        <v>3131</v>
      </c>
      <c r="I388" s="2" t="s">
        <v>1296</v>
      </c>
      <c r="J388" s="20" t="s">
        <v>1883</v>
      </c>
      <c r="K388" s="20">
        <v>50</v>
      </c>
      <c r="L388" s="2" t="s">
        <v>3141</v>
      </c>
      <c r="M388" s="5">
        <v>2</v>
      </c>
      <c r="N388" s="2"/>
      <c r="O388" s="2" t="s">
        <v>3197</v>
      </c>
      <c r="P388" s="2" t="s">
        <v>3198</v>
      </c>
      <c r="Q388" s="2">
        <v>3</v>
      </c>
      <c r="R388" s="2" t="s">
        <v>28</v>
      </c>
      <c r="S388" s="2" t="s">
        <v>3214</v>
      </c>
      <c r="T388" s="18" t="s">
        <v>2772</v>
      </c>
      <c r="U388" s="18" t="s">
        <v>3212</v>
      </c>
    </row>
    <row r="389" spans="1:21" x14ac:dyDescent="0.3">
      <c r="A389" s="81" t="s">
        <v>2772</v>
      </c>
      <c r="B389" s="27" t="s">
        <v>3215</v>
      </c>
      <c r="C389" s="2" t="s">
        <v>3216</v>
      </c>
      <c r="D389" s="2" t="s">
        <v>3060</v>
      </c>
      <c r="E389" s="2" t="s">
        <v>3217</v>
      </c>
      <c r="F389" s="2" t="s">
        <v>1296</v>
      </c>
      <c r="G389" s="2" t="s">
        <v>3218</v>
      </c>
      <c r="H389" s="2" t="s">
        <v>3184</v>
      </c>
      <c r="I389" s="2" t="s">
        <v>1296</v>
      </c>
      <c r="J389" s="2" t="s">
        <v>3219</v>
      </c>
      <c r="K389" s="2">
        <v>30</v>
      </c>
      <c r="L389" s="2" t="s">
        <v>2929</v>
      </c>
      <c r="M389" s="5">
        <v>1</v>
      </c>
      <c r="N389" s="2"/>
      <c r="O389" s="2" t="s">
        <v>3214</v>
      </c>
      <c r="P389" s="2" t="s">
        <v>3170</v>
      </c>
      <c r="Q389" s="2"/>
      <c r="R389" s="2" t="s">
        <v>28</v>
      </c>
      <c r="S389" s="2" t="s">
        <v>3214</v>
      </c>
      <c r="T389" s="18" t="s">
        <v>2772</v>
      </c>
      <c r="U389" s="18" t="s">
        <v>3212</v>
      </c>
    </row>
    <row r="390" spans="1:21" x14ac:dyDescent="0.3">
      <c r="A390" s="81" t="s">
        <v>287</v>
      </c>
      <c r="B390" s="27" t="s">
        <v>3220</v>
      </c>
      <c r="C390" s="2" t="s">
        <v>3221</v>
      </c>
      <c r="D390" s="2" t="s">
        <v>2585</v>
      </c>
      <c r="E390" s="2" t="s">
        <v>3222</v>
      </c>
      <c r="F390" s="2" t="s">
        <v>1296</v>
      </c>
      <c r="G390" s="2" t="s">
        <v>3223</v>
      </c>
      <c r="H390" s="2" t="s">
        <v>3137</v>
      </c>
      <c r="I390" s="2" t="s">
        <v>1340</v>
      </c>
      <c r="J390" s="2" t="s">
        <v>3224</v>
      </c>
      <c r="K390" s="2">
        <v>29.76</v>
      </c>
      <c r="L390" s="2" t="s">
        <v>3225</v>
      </c>
      <c r="M390" s="5">
        <v>1</v>
      </c>
      <c r="N390" s="2"/>
      <c r="O390" s="2" t="s">
        <v>3197</v>
      </c>
      <c r="P390" s="2" t="s">
        <v>3198</v>
      </c>
      <c r="Q390" s="2"/>
      <c r="R390" s="2" t="s">
        <v>28</v>
      </c>
      <c r="S390" s="2" t="s">
        <v>3214</v>
      </c>
      <c r="T390" s="74" t="s">
        <v>287</v>
      </c>
      <c r="U390" s="74" t="s">
        <v>3226</v>
      </c>
    </row>
    <row r="391" spans="1:21" x14ac:dyDescent="0.3">
      <c r="A391" s="81" t="s">
        <v>38</v>
      </c>
      <c r="B391" s="27" t="s">
        <v>2543</v>
      </c>
      <c r="C391" s="2" t="s">
        <v>3227</v>
      </c>
      <c r="D391" s="2"/>
      <c r="E391" s="2" t="s">
        <v>3228</v>
      </c>
      <c r="F391" s="2" t="s">
        <v>1296</v>
      </c>
      <c r="G391" s="19" t="s">
        <v>3229</v>
      </c>
      <c r="H391" s="2" t="s">
        <v>3165</v>
      </c>
      <c r="I391" s="2" t="s">
        <v>1296</v>
      </c>
      <c r="J391" s="2" t="s">
        <v>205</v>
      </c>
      <c r="K391" s="44">
        <v>30</v>
      </c>
      <c r="L391" s="2" t="s">
        <v>2718</v>
      </c>
      <c r="M391" s="5">
        <v>1</v>
      </c>
      <c r="N391" s="2"/>
      <c r="O391" s="2" t="s">
        <v>3212</v>
      </c>
      <c r="P391" s="2" t="s">
        <v>3226</v>
      </c>
      <c r="Q391" s="2"/>
      <c r="R391" s="2" t="s">
        <v>28</v>
      </c>
      <c r="S391" s="2"/>
      <c r="T391" s="74" t="s">
        <v>38</v>
      </c>
      <c r="U391" s="74" t="s">
        <v>3230</v>
      </c>
    </row>
    <row r="392" spans="1:21" ht="43.2" x14ac:dyDescent="0.3">
      <c r="A392" s="81" t="s">
        <v>60</v>
      </c>
      <c r="B392" s="261" t="s">
        <v>2731</v>
      </c>
      <c r="C392" s="252" t="s">
        <v>3231</v>
      </c>
      <c r="D392" s="252" t="s">
        <v>3214</v>
      </c>
      <c r="E392" s="252" t="s">
        <v>3232</v>
      </c>
      <c r="F392" s="252" t="s">
        <v>1296</v>
      </c>
      <c r="G392" s="252" t="s">
        <v>3233</v>
      </c>
      <c r="H392" s="252" t="s">
        <v>3165</v>
      </c>
      <c r="I392" s="252" t="s">
        <v>1296</v>
      </c>
      <c r="J392" s="252" t="s">
        <v>3234</v>
      </c>
      <c r="K392" s="252">
        <v>22.527999999999999</v>
      </c>
      <c r="L392" s="252" t="s">
        <v>3235</v>
      </c>
      <c r="M392" s="252">
        <v>1</v>
      </c>
      <c r="N392" s="252"/>
      <c r="O392" s="252" t="s">
        <v>3212</v>
      </c>
      <c r="P392" s="252" t="s">
        <v>3226</v>
      </c>
      <c r="Q392" s="252"/>
      <c r="R392" s="252" t="s">
        <v>28</v>
      </c>
      <c r="S392" s="252"/>
      <c r="T392" s="282" t="s">
        <v>2772</v>
      </c>
      <c r="U392" s="74" t="s">
        <v>3230</v>
      </c>
    </row>
    <row r="393" spans="1:21" ht="86.4" x14ac:dyDescent="0.3">
      <c r="A393" s="81" t="s">
        <v>60</v>
      </c>
      <c r="B393" s="261" t="s">
        <v>2427</v>
      </c>
      <c r="C393" s="252" t="s">
        <v>3179</v>
      </c>
      <c r="D393" s="252" t="s">
        <v>2764</v>
      </c>
      <c r="E393" s="252" t="s">
        <v>3180</v>
      </c>
      <c r="F393" s="252" t="s">
        <v>1462</v>
      </c>
      <c r="G393" s="251">
        <v>248169250</v>
      </c>
      <c r="H393" s="252" t="s">
        <v>2828</v>
      </c>
      <c r="I393" s="252" t="s">
        <v>1462</v>
      </c>
      <c r="J393" s="252" t="s">
        <v>3181</v>
      </c>
      <c r="K393" s="252">
        <v>261.24</v>
      </c>
      <c r="L393" s="252" t="s">
        <v>3182</v>
      </c>
      <c r="M393" s="300" t="s">
        <v>3183</v>
      </c>
      <c r="N393" s="252">
        <v>20</v>
      </c>
      <c r="O393" s="252" t="s">
        <v>3130</v>
      </c>
      <c r="P393" s="252" t="s">
        <v>3236</v>
      </c>
      <c r="Q393" s="252" t="s">
        <v>3237</v>
      </c>
      <c r="R393" s="252" t="s">
        <v>3186</v>
      </c>
      <c r="S393" s="252" t="s">
        <v>3238</v>
      </c>
      <c r="T393" s="282" t="s">
        <v>3239</v>
      </c>
      <c r="U393" s="282" t="s">
        <v>3240</v>
      </c>
    </row>
    <row r="394" spans="1:21" ht="100.8" x14ac:dyDescent="0.3">
      <c r="A394" s="81" t="s">
        <v>38</v>
      </c>
      <c r="B394" s="261" t="s">
        <v>3241</v>
      </c>
      <c r="C394" s="252" t="s">
        <v>3242</v>
      </c>
      <c r="D394" s="252" t="s">
        <v>3013</v>
      </c>
      <c r="E394" s="252" t="s">
        <v>3243</v>
      </c>
      <c r="F394" s="252" t="s">
        <v>1232</v>
      </c>
      <c r="G394" s="251">
        <v>250260814</v>
      </c>
      <c r="H394" s="252" t="s">
        <v>3062</v>
      </c>
      <c r="I394" s="252" t="s">
        <v>3244</v>
      </c>
      <c r="J394" s="252" t="s">
        <v>3245</v>
      </c>
      <c r="K394" s="300" t="s">
        <v>3246</v>
      </c>
      <c r="L394" s="252" t="s">
        <v>3247</v>
      </c>
      <c r="M394" s="283">
        <v>1</v>
      </c>
      <c r="N394" s="283">
        <v>20</v>
      </c>
      <c r="O394" s="252" t="s">
        <v>3123</v>
      </c>
      <c r="P394" s="252" t="s">
        <v>3226</v>
      </c>
      <c r="Q394" s="252" t="s">
        <v>3248</v>
      </c>
      <c r="R394" s="252" t="s">
        <v>28</v>
      </c>
      <c r="S394" s="252"/>
      <c r="T394" s="328" t="s">
        <v>38</v>
      </c>
      <c r="U394" s="328" t="s">
        <v>3249</v>
      </c>
    </row>
    <row r="395" spans="1:21" x14ac:dyDescent="0.3">
      <c r="A395" s="81" t="s">
        <v>38</v>
      </c>
      <c r="B395" s="27" t="s">
        <v>2543</v>
      </c>
      <c r="C395" s="2" t="s">
        <v>3227</v>
      </c>
      <c r="D395" s="2"/>
      <c r="E395" s="2" t="s">
        <v>3250</v>
      </c>
      <c r="F395" s="2" t="s">
        <v>1296</v>
      </c>
      <c r="G395" s="19" t="s">
        <v>3251</v>
      </c>
      <c r="H395" s="2" t="s">
        <v>3212</v>
      </c>
      <c r="I395" s="2" t="s">
        <v>1296</v>
      </c>
      <c r="J395" s="2" t="s">
        <v>205</v>
      </c>
      <c r="K395" s="44">
        <v>25</v>
      </c>
      <c r="L395" s="2" t="s">
        <v>2718</v>
      </c>
      <c r="M395" s="5">
        <v>1</v>
      </c>
      <c r="N395" s="2"/>
      <c r="O395" s="2" t="s">
        <v>3109</v>
      </c>
      <c r="P395" s="2" t="s">
        <v>3044</v>
      </c>
      <c r="Q395" s="2"/>
      <c r="R395" s="2" t="s">
        <v>28</v>
      </c>
      <c r="S395" s="2"/>
      <c r="T395" s="303" t="s">
        <v>38</v>
      </c>
      <c r="U395" s="74" t="s">
        <v>3249</v>
      </c>
    </row>
    <row r="396" spans="1:21" ht="28.8" x14ac:dyDescent="0.3">
      <c r="A396" s="81" t="s">
        <v>38</v>
      </c>
      <c r="B396" s="36" t="s">
        <v>2864</v>
      </c>
      <c r="C396" s="453" t="s">
        <v>3252</v>
      </c>
      <c r="D396" s="2" t="s">
        <v>2977</v>
      </c>
      <c r="E396" s="6" t="s">
        <v>3253</v>
      </c>
      <c r="F396" s="2" t="s">
        <v>1462</v>
      </c>
      <c r="G396" s="508" t="s">
        <v>3254</v>
      </c>
      <c r="H396" s="2" t="s">
        <v>3107</v>
      </c>
      <c r="I396" s="2" t="s">
        <v>1462</v>
      </c>
      <c r="J396" s="20" t="s">
        <v>137</v>
      </c>
      <c r="K396" s="8">
        <v>275.14</v>
      </c>
      <c r="L396" s="447">
        <v>615</v>
      </c>
      <c r="M396" s="5">
        <v>10</v>
      </c>
      <c r="N396" s="5">
        <v>40</v>
      </c>
      <c r="O396" s="2" t="s">
        <v>3090</v>
      </c>
      <c r="P396" s="2" t="s">
        <v>3197</v>
      </c>
      <c r="Q396" s="2" t="s">
        <v>3248</v>
      </c>
      <c r="R396" s="2" t="s">
        <v>121</v>
      </c>
      <c r="S396" s="2" t="s">
        <v>3109</v>
      </c>
      <c r="T396" s="343" t="s">
        <v>3255</v>
      </c>
      <c r="U396" s="343" t="s">
        <v>3256</v>
      </c>
    </row>
    <row r="397" spans="1:21" x14ac:dyDescent="0.3">
      <c r="A397" s="81" t="s">
        <v>287</v>
      </c>
      <c r="B397" s="27" t="s">
        <v>3257</v>
      </c>
      <c r="C397" s="2" t="s">
        <v>3258</v>
      </c>
      <c r="D397" s="2"/>
      <c r="E397" s="4">
        <v>3614012147</v>
      </c>
      <c r="F397" s="2" t="s">
        <v>1296</v>
      </c>
      <c r="G397" s="2" t="s">
        <v>3259</v>
      </c>
      <c r="H397" s="2" t="s">
        <v>3260</v>
      </c>
      <c r="I397" s="2" t="s">
        <v>1296</v>
      </c>
      <c r="J397" s="25" t="s">
        <v>84</v>
      </c>
      <c r="K397" s="2">
        <v>25</v>
      </c>
      <c r="L397" s="4">
        <v>89000</v>
      </c>
      <c r="M397" s="5">
        <v>1</v>
      </c>
      <c r="N397" s="2"/>
      <c r="O397" s="2" t="s">
        <v>3261</v>
      </c>
      <c r="P397" s="2" t="s">
        <v>3249</v>
      </c>
      <c r="Q397" s="2"/>
      <c r="R397" s="2" t="s">
        <v>121</v>
      </c>
      <c r="T397" s="303" t="s">
        <v>287</v>
      </c>
      <c r="U397" t="s">
        <v>3262</v>
      </c>
    </row>
    <row r="398" spans="1:21" ht="86.4" x14ac:dyDescent="0.3">
      <c r="A398" s="81" t="s">
        <v>60</v>
      </c>
      <c r="B398" s="513" t="s">
        <v>3263</v>
      </c>
      <c r="C398" s="71" t="s">
        <v>3264</v>
      </c>
      <c r="D398" s="252" t="s">
        <v>2854</v>
      </c>
      <c r="E398" s="2" t="s">
        <v>3265</v>
      </c>
      <c r="F398" s="252" t="s">
        <v>1232</v>
      </c>
      <c r="G398" s="511" t="s">
        <v>3266</v>
      </c>
      <c r="H398" s="252" t="s">
        <v>3267</v>
      </c>
      <c r="I398" s="252" t="s">
        <v>1435</v>
      </c>
      <c r="J398" s="252" t="s">
        <v>3268</v>
      </c>
      <c r="K398" s="300" t="s">
        <v>3269</v>
      </c>
      <c r="L398" s="252" t="s">
        <v>3270</v>
      </c>
      <c r="M398" s="300" t="s">
        <v>3271</v>
      </c>
      <c r="N398" s="300" t="s">
        <v>3272</v>
      </c>
      <c r="O398" s="252" t="s">
        <v>3273</v>
      </c>
      <c r="P398" s="252" t="s">
        <v>3274</v>
      </c>
      <c r="Q398" s="252" t="s">
        <v>3275</v>
      </c>
      <c r="R398" s="252" t="s">
        <v>28</v>
      </c>
      <c r="S398" s="252"/>
      <c r="T398" s="282" t="s">
        <v>3276</v>
      </c>
      <c r="U398" s="282" t="s">
        <v>3277</v>
      </c>
    </row>
    <row r="399" spans="1:21" ht="86.4" x14ac:dyDescent="0.3">
      <c r="A399" s="81" t="s">
        <v>60</v>
      </c>
      <c r="B399" s="513" t="s">
        <v>3263</v>
      </c>
      <c r="C399" s="71" t="s">
        <v>3264</v>
      </c>
      <c r="D399" s="252" t="s">
        <v>2854</v>
      </c>
      <c r="E399" s="2" t="s">
        <v>3265</v>
      </c>
      <c r="F399" s="252" t="s">
        <v>1232</v>
      </c>
      <c r="G399" s="511" t="s">
        <v>3266</v>
      </c>
      <c r="H399" s="252" t="s">
        <v>3267</v>
      </c>
      <c r="I399" s="252" t="s">
        <v>1435</v>
      </c>
      <c r="J399" s="252" t="s">
        <v>3268</v>
      </c>
      <c r="K399" s="300" t="s">
        <v>3269</v>
      </c>
      <c r="L399" s="252" t="s">
        <v>3270</v>
      </c>
      <c r="M399" s="300" t="s">
        <v>3271</v>
      </c>
      <c r="N399" s="300" t="s">
        <v>3272</v>
      </c>
      <c r="O399" s="252" t="s">
        <v>3273</v>
      </c>
      <c r="P399" s="252" t="s">
        <v>3274</v>
      </c>
      <c r="Q399" s="252" t="s">
        <v>3275</v>
      </c>
      <c r="R399" s="252" t="s">
        <v>28</v>
      </c>
      <c r="S399" s="252"/>
      <c r="T399" s="282" t="s">
        <v>3276</v>
      </c>
      <c r="U399" s="282" t="s">
        <v>3277</v>
      </c>
    </row>
    <row r="400" spans="1:21" ht="72" x14ac:dyDescent="0.3">
      <c r="A400" s="81" t="s">
        <v>38</v>
      </c>
      <c r="B400" s="27" t="s">
        <v>2864</v>
      </c>
      <c r="C400" s="2" t="s">
        <v>3278</v>
      </c>
      <c r="D400" s="2" t="s">
        <v>3065</v>
      </c>
      <c r="E400" s="2" t="s">
        <v>3279</v>
      </c>
      <c r="F400" s="2" t="s">
        <v>1462</v>
      </c>
      <c r="G400" s="19">
        <v>249625355</v>
      </c>
      <c r="H400" s="2" t="s">
        <v>3113</v>
      </c>
      <c r="I400" s="2" t="s">
        <v>3280</v>
      </c>
      <c r="J400" s="20" t="s">
        <v>137</v>
      </c>
      <c r="K400" s="44">
        <v>412.62</v>
      </c>
      <c r="L400" s="2" t="s">
        <v>3281</v>
      </c>
      <c r="M400" s="5">
        <v>15</v>
      </c>
      <c r="N400" s="5">
        <v>40</v>
      </c>
      <c r="O400" s="2" t="s">
        <v>3123</v>
      </c>
      <c r="P400" s="2" t="s">
        <v>3226</v>
      </c>
      <c r="Q400" s="2" t="s">
        <v>3282</v>
      </c>
      <c r="R400" s="2" t="s">
        <v>28</v>
      </c>
      <c r="S400" s="1" t="s">
        <v>3283</v>
      </c>
      <c r="T400" s="328" t="s">
        <v>3284</v>
      </c>
      <c r="U400" s="328" t="s">
        <v>3285</v>
      </c>
    </row>
    <row r="401" spans="1:21" x14ac:dyDescent="0.3">
      <c r="A401" s="81" t="s">
        <v>287</v>
      </c>
      <c r="B401" s="27" t="s">
        <v>758</v>
      </c>
      <c r="C401" s="2" t="s">
        <v>3286</v>
      </c>
      <c r="D401" s="2" t="s">
        <v>3123</v>
      </c>
      <c r="E401" s="2" t="s">
        <v>3287</v>
      </c>
      <c r="F401" s="2" t="s">
        <v>1296</v>
      </c>
      <c r="G401" s="2" t="s">
        <v>3288</v>
      </c>
      <c r="H401" s="2" t="s">
        <v>3212</v>
      </c>
      <c r="I401" s="2" t="s">
        <v>1296</v>
      </c>
      <c r="J401" s="2" t="s">
        <v>1939</v>
      </c>
      <c r="K401" s="2">
        <v>9.9760000000000009</v>
      </c>
      <c r="L401" s="2" t="s">
        <v>3289</v>
      </c>
      <c r="M401" s="5">
        <v>1</v>
      </c>
      <c r="N401" s="2"/>
      <c r="O401" s="2" t="s">
        <v>3262</v>
      </c>
      <c r="P401" s="2" t="s">
        <v>3290</v>
      </c>
      <c r="Q401" s="2"/>
      <c r="R401" s="2" t="s">
        <v>121</v>
      </c>
      <c r="S401" s="2"/>
      <c r="T401" s="303" t="s">
        <v>287</v>
      </c>
      <c r="U401" s="282" t="s">
        <v>3291</v>
      </c>
    </row>
    <row r="402" spans="1:21" x14ac:dyDescent="0.3">
      <c r="A402" s="81" t="s">
        <v>287</v>
      </c>
      <c r="B402" s="27" t="s">
        <v>3220</v>
      </c>
      <c r="C402" s="2" t="s">
        <v>3221</v>
      </c>
      <c r="D402" s="2" t="s">
        <v>2585</v>
      </c>
      <c r="E402" s="2" t="s">
        <v>3222</v>
      </c>
      <c r="F402" s="2" t="s">
        <v>1296</v>
      </c>
      <c r="G402" s="2" t="s">
        <v>3292</v>
      </c>
      <c r="H402" s="2" t="s">
        <v>3159</v>
      </c>
      <c r="I402" s="2" t="s">
        <v>1340</v>
      </c>
      <c r="J402" s="2" t="s">
        <v>3224</v>
      </c>
      <c r="K402" s="2">
        <v>29.03</v>
      </c>
      <c r="L402" s="2" t="s">
        <v>3225</v>
      </c>
      <c r="M402" s="5">
        <v>1</v>
      </c>
      <c r="N402" s="2"/>
      <c r="O402" s="2" t="s">
        <v>3248</v>
      </c>
      <c r="P402" s="2" t="s">
        <v>3293</v>
      </c>
      <c r="Q402" s="2"/>
      <c r="R402" s="2" t="s">
        <v>212</v>
      </c>
      <c r="S402" s="2"/>
      <c r="T402" s="303" t="s">
        <v>287</v>
      </c>
      <c r="U402" s="282" t="s">
        <v>3291</v>
      </c>
    </row>
    <row r="403" spans="1:21" ht="144" x14ac:dyDescent="0.3">
      <c r="A403" s="81" t="s">
        <v>38</v>
      </c>
      <c r="B403" s="27" t="s">
        <v>3294</v>
      </c>
      <c r="C403" s="2" t="s">
        <v>3295</v>
      </c>
      <c r="D403" s="2" t="s">
        <v>2751</v>
      </c>
      <c r="E403" s="19">
        <v>235</v>
      </c>
      <c r="F403" s="2" t="s">
        <v>2222</v>
      </c>
      <c r="G403" s="2" t="s">
        <v>3296</v>
      </c>
      <c r="H403" s="2" t="s">
        <v>2828</v>
      </c>
      <c r="I403" s="2" t="s">
        <v>2998</v>
      </c>
      <c r="J403" s="20" t="s">
        <v>1459</v>
      </c>
      <c r="K403" s="20">
        <v>262.41000000000003</v>
      </c>
      <c r="L403" s="2" t="s">
        <v>3297</v>
      </c>
      <c r="M403" s="5" t="s">
        <v>3298</v>
      </c>
      <c r="N403" s="5">
        <v>20</v>
      </c>
      <c r="O403" s="266" t="s">
        <v>3299</v>
      </c>
      <c r="P403" s="266" t="s">
        <v>3300</v>
      </c>
      <c r="Q403" s="266" t="s">
        <v>3301</v>
      </c>
      <c r="R403" s="2" t="s">
        <v>121</v>
      </c>
      <c r="S403" s="266" t="s">
        <v>3302</v>
      </c>
      <c r="T403" s="343" t="s">
        <v>3303</v>
      </c>
      <c r="U403" s="343" t="s">
        <v>3304</v>
      </c>
    </row>
    <row r="404" spans="1:21" ht="57.6" x14ac:dyDescent="0.3">
      <c r="A404" s="81" t="s">
        <v>60</v>
      </c>
      <c r="B404" s="261" t="s">
        <v>157</v>
      </c>
      <c r="C404" s="2" t="s">
        <v>3305</v>
      </c>
      <c r="D404" s="252" t="s">
        <v>3261</v>
      </c>
      <c r="E404" s="251">
        <v>25032101</v>
      </c>
      <c r="F404" s="252" t="s">
        <v>1272</v>
      </c>
      <c r="G404" s="252" t="s">
        <v>3306</v>
      </c>
      <c r="H404" s="252" t="s">
        <v>3212</v>
      </c>
      <c r="I404" s="252" t="s">
        <v>1272</v>
      </c>
      <c r="J404" s="252" t="s">
        <v>3307</v>
      </c>
      <c r="K404" s="252">
        <v>125</v>
      </c>
      <c r="L404" s="252" t="s">
        <v>3308</v>
      </c>
      <c r="M404" s="283">
        <v>5</v>
      </c>
      <c r="N404" s="252">
        <v>20</v>
      </c>
      <c r="O404" s="252" t="s">
        <v>3261</v>
      </c>
      <c r="P404" s="252" t="s">
        <v>3204</v>
      </c>
      <c r="Q404" s="252" t="s">
        <v>3309</v>
      </c>
      <c r="R404" s="252" t="s">
        <v>28</v>
      </c>
      <c r="S404" s="252"/>
      <c r="T404" s="282" t="s">
        <v>3310</v>
      </c>
      <c r="U404" s="282" t="s">
        <v>3311</v>
      </c>
    </row>
    <row r="405" spans="1:21" x14ac:dyDescent="0.3">
      <c r="A405" s="81" t="s">
        <v>38</v>
      </c>
      <c r="B405" s="27" t="s">
        <v>3312</v>
      </c>
      <c r="C405" s="2" t="s">
        <v>3313</v>
      </c>
      <c r="D405" s="2" t="s">
        <v>3226</v>
      </c>
      <c r="E405" s="2" t="s">
        <v>3314</v>
      </c>
      <c r="F405" s="2" t="s">
        <v>1296</v>
      </c>
      <c r="G405" s="2" t="s">
        <v>3315</v>
      </c>
      <c r="H405" s="2"/>
      <c r="I405" s="2" t="s">
        <v>1296</v>
      </c>
      <c r="J405" s="2" t="s">
        <v>860</v>
      </c>
      <c r="K405" s="44">
        <v>409.36</v>
      </c>
      <c r="L405" s="2">
        <v>29800</v>
      </c>
      <c r="M405" s="5">
        <v>1</v>
      </c>
      <c r="N405" s="2"/>
      <c r="O405" s="2" t="s">
        <v>3311</v>
      </c>
      <c r="P405" s="2" t="s">
        <v>3316</v>
      </c>
      <c r="Q405" s="2"/>
      <c r="R405" s="2" t="s">
        <v>212</v>
      </c>
      <c r="S405" s="2"/>
      <c r="T405" s="282" t="s">
        <v>38</v>
      </c>
      <c r="U405" s="282" t="s">
        <v>3316</v>
      </c>
    </row>
    <row r="406" spans="1:21" x14ac:dyDescent="0.3">
      <c r="A406" t="s">
        <v>38</v>
      </c>
      <c r="B406" s="27" t="s">
        <v>3312</v>
      </c>
      <c r="C406" s="2" t="s">
        <v>3317</v>
      </c>
      <c r="D406" s="2" t="s">
        <v>3226</v>
      </c>
      <c r="E406" s="2" t="s">
        <v>3318</v>
      </c>
      <c r="F406" s="2" t="s">
        <v>1296</v>
      </c>
      <c r="G406" s="2" t="s">
        <v>3315</v>
      </c>
      <c r="H406" s="2"/>
      <c r="I406" s="2" t="s">
        <v>1296</v>
      </c>
      <c r="J406" s="2" t="s">
        <v>860</v>
      </c>
      <c r="K406" s="44">
        <v>866.32</v>
      </c>
      <c r="L406" s="2">
        <v>37000</v>
      </c>
      <c r="M406" s="5">
        <v>1</v>
      </c>
      <c r="N406" s="2"/>
      <c r="O406" s="2" t="s">
        <v>3311</v>
      </c>
      <c r="P406" s="2" t="s">
        <v>3316</v>
      </c>
      <c r="Q406" s="2"/>
      <c r="R406" s="2" t="s">
        <v>212</v>
      </c>
      <c r="S406" s="2"/>
      <c r="T406" s="282" t="s">
        <v>38</v>
      </c>
      <c r="U406" s="282" t="s">
        <v>3316</v>
      </c>
    </row>
    <row r="407" spans="1:21" x14ac:dyDescent="0.3">
      <c r="A407" t="s">
        <v>38</v>
      </c>
      <c r="B407" s="27" t="s">
        <v>3294</v>
      </c>
      <c r="C407" s="2" t="s">
        <v>3295</v>
      </c>
      <c r="D407" s="2" t="s">
        <v>2751</v>
      </c>
      <c r="E407" s="19">
        <v>235</v>
      </c>
      <c r="F407" s="2" t="s">
        <v>2222</v>
      </c>
      <c r="G407" s="25" t="s">
        <v>3319</v>
      </c>
      <c r="H407" s="2" t="s">
        <v>2914</v>
      </c>
      <c r="I407" s="2" t="s">
        <v>2998</v>
      </c>
      <c r="J407" s="20" t="s">
        <v>1459</v>
      </c>
      <c r="K407" s="20">
        <v>23.161000000000001</v>
      </c>
      <c r="L407" s="2" t="s">
        <v>3297</v>
      </c>
      <c r="M407" s="5">
        <v>1</v>
      </c>
      <c r="N407" s="5">
        <v>20</v>
      </c>
      <c r="O407" s="2" t="s">
        <v>3226</v>
      </c>
      <c r="P407" s="2" t="s">
        <v>3320</v>
      </c>
      <c r="Q407" s="2" t="s">
        <v>3309</v>
      </c>
      <c r="R407" s="2" t="s">
        <v>121</v>
      </c>
      <c r="S407" s="2"/>
      <c r="T407" s="18" t="s">
        <v>38</v>
      </c>
      <c r="U407" s="18" t="s">
        <v>3311</v>
      </c>
    </row>
    <row r="408" spans="1:21" ht="43.2" x14ac:dyDescent="0.3">
      <c r="A408" t="s">
        <v>38</v>
      </c>
      <c r="B408" s="27" t="s">
        <v>3321</v>
      </c>
      <c r="C408" s="2" t="s">
        <v>3322</v>
      </c>
      <c r="D408" s="2" t="s">
        <v>3013</v>
      </c>
      <c r="E408" s="2" t="s">
        <v>3323</v>
      </c>
      <c r="F408" s="2" t="s">
        <v>3324</v>
      </c>
      <c r="G408" s="19">
        <v>250432331</v>
      </c>
      <c r="H408" s="2" t="s">
        <v>3136</v>
      </c>
      <c r="I408" s="2" t="s">
        <v>3325</v>
      </c>
      <c r="J408" s="20" t="s">
        <v>3114</v>
      </c>
      <c r="K408" s="44">
        <v>512.35900000000004</v>
      </c>
      <c r="L408" s="2" t="s">
        <v>3326</v>
      </c>
      <c r="M408" s="5">
        <v>22</v>
      </c>
      <c r="N408" s="5">
        <v>20</v>
      </c>
      <c r="O408" s="2" t="s">
        <v>3327</v>
      </c>
      <c r="P408" s="2" t="s">
        <v>3328</v>
      </c>
      <c r="Q408" s="2" t="s">
        <v>3329</v>
      </c>
      <c r="R408" s="2" t="s">
        <v>28</v>
      </c>
      <c r="S408" s="2"/>
      <c r="T408" s="343" t="s">
        <v>3330</v>
      </c>
      <c r="U408" s="315" t="s">
        <v>3331</v>
      </c>
    </row>
    <row r="409" spans="1:21" ht="57.6" x14ac:dyDescent="0.3">
      <c r="A409" t="s">
        <v>60</v>
      </c>
      <c r="B409" s="261" t="s">
        <v>2864</v>
      </c>
      <c r="C409" s="252" t="s">
        <v>3332</v>
      </c>
      <c r="D409" s="252" t="s">
        <v>2892</v>
      </c>
      <c r="E409" s="252" t="s">
        <v>3333</v>
      </c>
      <c r="F409" s="252" t="s">
        <v>1462</v>
      </c>
      <c r="G409" s="251">
        <v>248127787</v>
      </c>
      <c r="H409" s="252" t="s">
        <v>3107</v>
      </c>
      <c r="I409" s="252" t="s">
        <v>1462</v>
      </c>
      <c r="J409" s="252" t="s">
        <v>3157</v>
      </c>
      <c r="K409" s="252">
        <v>112.6</v>
      </c>
      <c r="L409" s="252" t="s">
        <v>1432</v>
      </c>
      <c r="M409" s="300" t="s">
        <v>3334</v>
      </c>
      <c r="N409" s="252">
        <v>20</v>
      </c>
      <c r="O409" s="252" t="s">
        <v>3131</v>
      </c>
      <c r="P409" s="252" t="s">
        <v>3335</v>
      </c>
      <c r="Q409" s="252" t="s">
        <v>3336</v>
      </c>
      <c r="R409" s="252" t="s">
        <v>28</v>
      </c>
      <c r="S409" s="261" t="s">
        <v>3337</v>
      </c>
      <c r="T409" s="282" t="s">
        <v>3338</v>
      </c>
      <c r="U409" s="282" t="s">
        <v>3339</v>
      </c>
    </row>
    <row r="410" spans="1:21" ht="57.6" x14ac:dyDescent="0.3">
      <c r="A410" t="s">
        <v>38</v>
      </c>
      <c r="B410" s="369" t="s">
        <v>3038</v>
      </c>
      <c r="C410" s="2" t="s">
        <v>3340</v>
      </c>
      <c r="D410" s="2" t="s">
        <v>2892</v>
      </c>
      <c r="E410" s="19">
        <v>30122024</v>
      </c>
      <c r="F410" s="2" t="s">
        <v>3040</v>
      </c>
      <c r="G410" s="27" t="s">
        <v>3341</v>
      </c>
      <c r="H410" s="2" t="s">
        <v>2962</v>
      </c>
      <c r="I410" s="2" t="s">
        <v>2270</v>
      </c>
      <c r="J410" s="317" t="s">
        <v>3342</v>
      </c>
      <c r="K410" s="244" t="s">
        <v>3343</v>
      </c>
      <c r="L410" s="266" t="s">
        <v>3344</v>
      </c>
      <c r="M410" s="5">
        <v>1</v>
      </c>
      <c r="N410" s="5">
        <v>40</v>
      </c>
      <c r="O410" s="2" t="s">
        <v>3290</v>
      </c>
      <c r="P410" s="2" t="s">
        <v>3311</v>
      </c>
      <c r="Q410" s="2" t="s">
        <v>3345</v>
      </c>
      <c r="R410" s="2" t="s">
        <v>121</v>
      </c>
      <c r="S410" s="2"/>
      <c r="T410" s="18" t="s">
        <v>38</v>
      </c>
      <c r="U410" s="18" t="s">
        <v>3309</v>
      </c>
    </row>
    <row r="411" spans="1:21" ht="43.2" x14ac:dyDescent="0.3">
      <c r="A411" s="439" t="s">
        <v>4963</v>
      </c>
      <c r="B411" s="261" t="s">
        <v>3346</v>
      </c>
      <c r="C411" s="252" t="s">
        <v>3347</v>
      </c>
      <c r="D411" s="252" t="s">
        <v>3198</v>
      </c>
      <c r="E411" s="251">
        <v>6001554234</v>
      </c>
      <c r="F411" s="252" t="s">
        <v>1318</v>
      </c>
      <c r="G411" s="252" t="s">
        <v>3348</v>
      </c>
      <c r="H411" s="252" t="s">
        <v>3290</v>
      </c>
      <c r="I411" s="252" t="s">
        <v>1318</v>
      </c>
      <c r="J411" s="252" t="s">
        <v>152</v>
      </c>
      <c r="K411" s="252">
        <v>20</v>
      </c>
      <c r="L411" s="252" t="s">
        <v>3349</v>
      </c>
      <c r="M411" s="283">
        <v>1</v>
      </c>
      <c r="N411" s="283">
        <v>20</v>
      </c>
      <c r="O411" s="252" t="s">
        <v>3328</v>
      </c>
      <c r="P411" s="252" t="s">
        <v>3350</v>
      </c>
      <c r="Q411" s="252" t="s">
        <v>3351</v>
      </c>
      <c r="R411" s="252" t="s">
        <v>28</v>
      </c>
      <c r="S411" s="252" t="s">
        <v>3352</v>
      </c>
      <c r="T411" s="328" t="s">
        <v>38</v>
      </c>
      <c r="U411" s="328" t="s">
        <v>1225</v>
      </c>
    </row>
    <row r="412" spans="1:21" ht="43.2" x14ac:dyDescent="0.3">
      <c r="A412" s="439" t="s">
        <v>4964</v>
      </c>
      <c r="B412" s="261" t="s">
        <v>3346</v>
      </c>
      <c r="C412" s="252" t="s">
        <v>3353</v>
      </c>
      <c r="D412" s="252" t="s">
        <v>3197</v>
      </c>
      <c r="E412" s="251">
        <v>6001554162</v>
      </c>
      <c r="F412" s="252" t="s">
        <v>1318</v>
      </c>
      <c r="G412" s="252" t="s">
        <v>3354</v>
      </c>
      <c r="H412" s="252" t="s">
        <v>3290</v>
      </c>
      <c r="I412" s="252" t="s">
        <v>1318</v>
      </c>
      <c r="J412" s="252" t="s">
        <v>152</v>
      </c>
      <c r="K412" s="252">
        <v>20</v>
      </c>
      <c r="L412" s="252" t="s">
        <v>3349</v>
      </c>
      <c r="M412" s="252">
        <v>1</v>
      </c>
      <c r="N412" s="252">
        <v>20</v>
      </c>
      <c r="O412" s="252" t="s">
        <v>3328</v>
      </c>
      <c r="P412" s="252" t="s">
        <v>3355</v>
      </c>
      <c r="Q412" s="252" t="s">
        <v>3356</v>
      </c>
      <c r="R412" s="252" t="s">
        <v>28</v>
      </c>
      <c r="S412" s="252" t="s">
        <v>3352</v>
      </c>
      <c r="T412" s="328" t="s">
        <v>3357</v>
      </c>
      <c r="U412" s="328" t="s">
        <v>3345</v>
      </c>
    </row>
    <row r="413" spans="1:21" ht="43.2" x14ac:dyDescent="0.3">
      <c r="A413" t="s">
        <v>38</v>
      </c>
      <c r="B413" s="27" t="s">
        <v>2864</v>
      </c>
      <c r="C413" s="25" t="s">
        <v>3358</v>
      </c>
      <c r="D413" s="2" t="s">
        <v>3083</v>
      </c>
      <c r="E413" s="2" t="s">
        <v>3359</v>
      </c>
      <c r="F413" s="2" t="s">
        <v>1462</v>
      </c>
      <c r="G413" s="19">
        <v>250498799</v>
      </c>
      <c r="H413" s="2" t="s">
        <v>3123</v>
      </c>
      <c r="I413" s="2" t="s">
        <v>1462</v>
      </c>
      <c r="J413" s="2" t="s">
        <v>137</v>
      </c>
      <c r="K413" s="44">
        <v>275.62</v>
      </c>
      <c r="L413" s="2" t="s">
        <v>2762</v>
      </c>
      <c r="M413" s="5">
        <v>10</v>
      </c>
      <c r="N413" s="5">
        <v>40</v>
      </c>
      <c r="O413" s="2" t="s">
        <v>3226</v>
      </c>
      <c r="P413" s="2" t="s">
        <v>3360</v>
      </c>
      <c r="Q413" s="2" t="s">
        <v>3361</v>
      </c>
      <c r="R413" s="2" t="s">
        <v>28</v>
      </c>
      <c r="S413" s="2"/>
      <c r="T413" s="343" t="s">
        <v>3362</v>
      </c>
      <c r="U413" s="343" t="s">
        <v>3363</v>
      </c>
    </row>
    <row r="414" spans="1:21" x14ac:dyDescent="0.3">
      <c r="A414" t="s">
        <v>60</v>
      </c>
      <c r="B414" s="27" t="s">
        <v>16</v>
      </c>
      <c r="C414" s="2" t="s">
        <v>3364</v>
      </c>
      <c r="D414" s="2" t="s">
        <v>3059</v>
      </c>
      <c r="E414" s="2" t="s">
        <v>3365</v>
      </c>
      <c r="F414" s="2" t="s">
        <v>3366</v>
      </c>
      <c r="G414" s="2" t="s">
        <v>3367</v>
      </c>
      <c r="H414" s="2" t="s">
        <v>2995</v>
      </c>
      <c r="I414" s="2" t="s">
        <v>3366</v>
      </c>
      <c r="J414" s="2" t="s">
        <v>24</v>
      </c>
      <c r="K414" s="2">
        <v>148.285</v>
      </c>
      <c r="L414" s="2" t="s">
        <v>3368</v>
      </c>
      <c r="M414" s="5">
        <v>8</v>
      </c>
      <c r="N414" s="2">
        <v>20</v>
      </c>
      <c r="O414" s="2" t="s">
        <v>3249</v>
      </c>
      <c r="P414" s="2" t="s">
        <v>3316</v>
      </c>
      <c r="Q414" s="2" t="s">
        <v>3369</v>
      </c>
      <c r="R414" s="2" t="s">
        <v>28</v>
      </c>
      <c r="S414" s="2" t="s">
        <v>3355</v>
      </c>
      <c r="T414" s="18" t="s">
        <v>287</v>
      </c>
      <c r="U414" s="18" t="s">
        <v>3370</v>
      </c>
    </row>
    <row r="415" spans="1:21" ht="129.6" x14ac:dyDescent="0.3">
      <c r="A415" t="s">
        <v>60</v>
      </c>
      <c r="B415" s="261" t="s">
        <v>2402</v>
      </c>
      <c r="C415" s="252" t="s">
        <v>3371</v>
      </c>
      <c r="D415" s="252" t="s">
        <v>3311</v>
      </c>
      <c r="E415" s="252" t="s">
        <v>3372</v>
      </c>
      <c r="F415" s="252" t="s">
        <v>1296</v>
      </c>
      <c r="G415" s="252" t="s">
        <v>3373</v>
      </c>
      <c r="H415" s="252" t="s">
        <v>3374</v>
      </c>
      <c r="I415" s="252" t="s">
        <v>1296</v>
      </c>
      <c r="J415" s="252" t="s">
        <v>3375</v>
      </c>
      <c r="K415" s="252" t="s">
        <v>3376</v>
      </c>
      <c r="L415" s="252" t="s">
        <v>3377</v>
      </c>
      <c r="M415" s="252">
        <v>1</v>
      </c>
      <c r="N415" s="252"/>
      <c r="O415" s="252" t="s">
        <v>3351</v>
      </c>
      <c r="P415" s="252" t="s">
        <v>3378</v>
      </c>
      <c r="Q415" s="252" t="s">
        <v>3379</v>
      </c>
      <c r="R415" s="252" t="s">
        <v>28</v>
      </c>
      <c r="S415" s="252"/>
      <c r="T415" t="s">
        <v>38</v>
      </c>
      <c r="U415" t="s">
        <v>3378</v>
      </c>
    </row>
    <row r="416" spans="1:21" ht="86.4" x14ac:dyDescent="0.3">
      <c r="A416" t="s">
        <v>38</v>
      </c>
      <c r="B416" s="27" t="s">
        <v>130</v>
      </c>
      <c r="C416" s="2" t="s">
        <v>1168</v>
      </c>
      <c r="D416" s="2" t="s">
        <v>3380</v>
      </c>
      <c r="E416" s="19">
        <v>127137</v>
      </c>
      <c r="F416" s="2" t="s">
        <v>1904</v>
      </c>
      <c r="G416" s="19">
        <v>249004392</v>
      </c>
      <c r="H416" s="2" t="s">
        <v>2962</v>
      </c>
      <c r="I416" s="2" t="s">
        <v>1904</v>
      </c>
      <c r="J416" s="20" t="s">
        <v>3114</v>
      </c>
      <c r="K416" s="20">
        <v>500.06799999999998</v>
      </c>
      <c r="L416" s="2" t="s">
        <v>3381</v>
      </c>
      <c r="M416" s="5" t="s">
        <v>2040</v>
      </c>
      <c r="N416" s="5">
        <v>20</v>
      </c>
      <c r="O416" s="2" t="s">
        <v>3132</v>
      </c>
      <c r="P416" s="266" t="s">
        <v>3382</v>
      </c>
      <c r="Q416" s="266" t="s">
        <v>3383</v>
      </c>
      <c r="R416" s="2">
        <v>0</v>
      </c>
      <c r="S416" s="266" t="s">
        <v>3384</v>
      </c>
      <c r="T416" s="343" t="s">
        <v>3385</v>
      </c>
      <c r="U416" s="343" t="s">
        <v>3386</v>
      </c>
    </row>
    <row r="417" spans="1:21" ht="78" x14ac:dyDescent="0.3">
      <c r="A417" t="s">
        <v>38</v>
      </c>
      <c r="B417" s="27" t="s">
        <v>2427</v>
      </c>
      <c r="C417" s="2" t="s">
        <v>3387</v>
      </c>
      <c r="D417" s="2" t="s">
        <v>3360</v>
      </c>
      <c r="E417" s="2" t="s">
        <v>3388</v>
      </c>
      <c r="F417" s="2" t="s">
        <v>1462</v>
      </c>
      <c r="G417" s="19">
        <v>249668012</v>
      </c>
      <c r="H417" s="2" t="s">
        <v>3170</v>
      </c>
      <c r="I417" s="2" t="s">
        <v>1462</v>
      </c>
      <c r="J417" s="2" t="s">
        <v>137</v>
      </c>
      <c r="K417" s="44">
        <v>518</v>
      </c>
      <c r="L417" s="2" t="s">
        <v>3389</v>
      </c>
      <c r="M417" s="5">
        <v>25</v>
      </c>
      <c r="N417" s="5">
        <v>20</v>
      </c>
      <c r="O417" s="2" t="s">
        <v>3291</v>
      </c>
      <c r="P417" s="2" t="s">
        <v>3345</v>
      </c>
      <c r="Q417" s="2" t="s">
        <v>3390</v>
      </c>
      <c r="R417" s="2" t="s">
        <v>28</v>
      </c>
      <c r="S417" s="2"/>
      <c r="T417" s="517" t="s">
        <v>3391</v>
      </c>
      <c r="U417" s="315" t="s">
        <v>3392</v>
      </c>
    </row>
    <row r="418" spans="1:21" ht="43.2" x14ac:dyDescent="0.3">
      <c r="A418" t="s">
        <v>38</v>
      </c>
      <c r="B418" s="27" t="s">
        <v>3393</v>
      </c>
      <c r="C418" s="2" t="s">
        <v>1838</v>
      </c>
      <c r="D418" s="2"/>
      <c r="E418" s="2" t="s">
        <v>3394</v>
      </c>
      <c r="F418" s="2" t="s">
        <v>1232</v>
      </c>
      <c r="G418" s="2" t="s">
        <v>3395</v>
      </c>
      <c r="H418" s="2" t="s">
        <v>3369</v>
      </c>
      <c r="I418" s="2" t="s">
        <v>1232</v>
      </c>
      <c r="J418" s="266" t="s">
        <v>3396</v>
      </c>
      <c r="K418" s="266" t="s">
        <v>3397</v>
      </c>
      <c r="L418" s="266" t="s">
        <v>3398</v>
      </c>
      <c r="M418" s="2"/>
      <c r="N418" s="2"/>
      <c r="O418" s="2" t="s">
        <v>3399</v>
      </c>
      <c r="P418" s="2" t="s">
        <v>22</v>
      </c>
      <c r="Q418" s="2"/>
      <c r="R418" s="2" t="s">
        <v>28</v>
      </c>
      <c r="T418" s="2" t="s">
        <v>3400</v>
      </c>
      <c r="U418" s="315" t="s">
        <v>3401</v>
      </c>
    </row>
    <row r="419" spans="1:21" x14ac:dyDescent="0.3">
      <c r="A419" t="s">
        <v>38</v>
      </c>
      <c r="B419" s="27" t="s">
        <v>3402</v>
      </c>
      <c r="C419" s="2" t="s">
        <v>1838</v>
      </c>
      <c r="D419" s="2"/>
      <c r="E419" s="2">
        <v>1400000125</v>
      </c>
      <c r="F419" s="2" t="s">
        <v>3282</v>
      </c>
      <c r="G419" s="2" t="s">
        <v>3403</v>
      </c>
      <c r="H419" s="2" t="s">
        <v>3356</v>
      </c>
      <c r="I419" s="2" t="s">
        <v>1296</v>
      </c>
      <c r="J419" s="2" t="s">
        <v>865</v>
      </c>
      <c r="K419" s="44">
        <v>33</v>
      </c>
      <c r="L419" s="2" t="s">
        <v>3404</v>
      </c>
      <c r="M419" s="5">
        <v>1</v>
      </c>
      <c r="N419" s="2"/>
      <c r="O419" s="2" t="s">
        <v>22</v>
      </c>
      <c r="P419" s="2" t="s">
        <v>3401</v>
      </c>
      <c r="Q419" s="2"/>
      <c r="R419" s="2" t="s">
        <v>121</v>
      </c>
      <c r="S419" s="2"/>
      <c r="T419" s="74" t="s">
        <v>38</v>
      </c>
      <c r="U419" s="315" t="s">
        <v>1230</v>
      </c>
    </row>
    <row r="420" spans="1:21" x14ac:dyDescent="0.3">
      <c r="A420" t="s">
        <v>38</v>
      </c>
      <c r="B420" s="27" t="s">
        <v>3405</v>
      </c>
      <c r="C420" s="2" t="s">
        <v>3406</v>
      </c>
      <c r="D420" s="2" t="s">
        <v>3261</v>
      </c>
      <c r="E420" s="2" t="s">
        <v>3407</v>
      </c>
      <c r="F420" s="2" t="s">
        <v>1462</v>
      </c>
      <c r="G420" s="19">
        <v>252026293</v>
      </c>
      <c r="H420" s="2" t="s">
        <v>3198</v>
      </c>
      <c r="I420" s="2" t="s">
        <v>1462</v>
      </c>
      <c r="J420" s="2" t="s">
        <v>3408</v>
      </c>
      <c r="K420" s="44">
        <v>211.02</v>
      </c>
      <c r="L420" s="2" t="s">
        <v>2762</v>
      </c>
      <c r="M420" s="5">
        <v>10</v>
      </c>
      <c r="N420" s="5">
        <v>20</v>
      </c>
      <c r="O420" s="2" t="s">
        <v>3379</v>
      </c>
      <c r="P420" s="2" t="s">
        <v>3409</v>
      </c>
      <c r="Q420" s="2" t="s">
        <v>3410</v>
      </c>
      <c r="R420" s="2" t="s">
        <v>28</v>
      </c>
      <c r="S420" s="2" t="s">
        <v>22</v>
      </c>
      <c r="T420" s="18" t="s">
        <v>3411</v>
      </c>
      <c r="U420" s="18" t="s">
        <v>3412</v>
      </c>
    </row>
    <row r="421" spans="1:21" x14ac:dyDescent="0.3">
      <c r="A421" t="s">
        <v>38</v>
      </c>
      <c r="B421" s="27" t="s">
        <v>3405</v>
      </c>
      <c r="C421" s="2" t="s">
        <v>3413</v>
      </c>
      <c r="D421" s="2" t="s">
        <v>3083</v>
      </c>
      <c r="E421" s="2" t="s">
        <v>3414</v>
      </c>
      <c r="F421" s="2" t="s">
        <v>1462</v>
      </c>
      <c r="G421" s="19">
        <v>249756874</v>
      </c>
      <c r="H421" s="2" t="s">
        <v>3170</v>
      </c>
      <c r="I421" s="2" t="s">
        <v>1462</v>
      </c>
      <c r="J421" s="2" t="s">
        <v>3408</v>
      </c>
      <c r="K421" s="44">
        <v>250.92</v>
      </c>
      <c r="L421" s="2" t="s">
        <v>3415</v>
      </c>
      <c r="M421" s="5">
        <v>12</v>
      </c>
      <c r="N421" s="5">
        <v>20</v>
      </c>
      <c r="O421" s="2" t="s">
        <v>3379</v>
      </c>
      <c r="P421" s="2" t="s">
        <v>3409</v>
      </c>
      <c r="Q421" s="2" t="s">
        <v>3410</v>
      </c>
      <c r="R421" s="2" t="s">
        <v>28</v>
      </c>
      <c r="S421" s="25"/>
      <c r="T421" s="18" t="s">
        <v>3416</v>
      </c>
      <c r="U421" s="18" t="s">
        <v>3417</v>
      </c>
    </row>
    <row r="422" spans="1:21" ht="43.2" x14ac:dyDescent="0.3">
      <c r="A422" t="s">
        <v>38</v>
      </c>
      <c r="B422" s="27" t="s">
        <v>2841</v>
      </c>
      <c r="C422" s="2" t="s">
        <v>3418</v>
      </c>
      <c r="D422" s="2" t="s">
        <v>3293</v>
      </c>
      <c r="E422" s="19">
        <v>99174990</v>
      </c>
      <c r="F422" s="2" t="s">
        <v>1318</v>
      </c>
      <c r="G422" s="266" t="s">
        <v>3419</v>
      </c>
      <c r="H422" s="2" t="s">
        <v>3420</v>
      </c>
      <c r="I422" s="2" t="s">
        <v>3421</v>
      </c>
      <c r="J422" s="2" t="s">
        <v>1873</v>
      </c>
      <c r="K422" s="44">
        <v>8.2200000000000006</v>
      </c>
      <c r="L422" s="2" t="s">
        <v>3422</v>
      </c>
      <c r="M422" s="5">
        <v>1</v>
      </c>
      <c r="N422" s="5">
        <v>20</v>
      </c>
      <c r="O422" s="2" t="s">
        <v>3356</v>
      </c>
      <c r="P422" s="2" t="s">
        <v>3423</v>
      </c>
      <c r="Q422" s="2" t="s">
        <v>3424</v>
      </c>
      <c r="R422" s="2" t="s">
        <v>28</v>
      </c>
      <c r="S422" s="2"/>
      <c r="T422" s="74" t="s">
        <v>38</v>
      </c>
      <c r="U422" s="315" t="s">
        <v>3425</v>
      </c>
    </row>
    <row r="423" spans="1:21" x14ac:dyDescent="0.3">
      <c r="A423" t="s">
        <v>38</v>
      </c>
      <c r="B423" s="27" t="s">
        <v>3405</v>
      </c>
      <c r="C423" s="2" t="s">
        <v>3406</v>
      </c>
      <c r="D423" s="2" t="s">
        <v>3261</v>
      </c>
      <c r="E423" s="2" t="s">
        <v>3407</v>
      </c>
      <c r="F423" s="2" t="s">
        <v>1462</v>
      </c>
      <c r="G423" s="19">
        <v>250870641</v>
      </c>
      <c r="H423" s="2" t="s">
        <v>3261</v>
      </c>
      <c r="I423" s="2" t="s">
        <v>1462</v>
      </c>
      <c r="J423" s="2" t="s">
        <v>3408</v>
      </c>
      <c r="K423" s="44">
        <v>41.68</v>
      </c>
      <c r="L423" s="2" t="s">
        <v>2762</v>
      </c>
      <c r="M423" s="5">
        <v>2</v>
      </c>
      <c r="N423" s="5">
        <v>20</v>
      </c>
      <c r="O423" s="2" t="s">
        <v>3426</v>
      </c>
      <c r="P423" s="2" t="s">
        <v>3427</v>
      </c>
      <c r="Q423" s="2" t="s">
        <v>1233</v>
      </c>
      <c r="R423" s="2" t="s">
        <v>28</v>
      </c>
      <c r="S423" s="2" t="s">
        <v>22</v>
      </c>
      <c r="T423" s="18" t="s">
        <v>38</v>
      </c>
      <c r="U423" s="18" t="s">
        <v>3428</v>
      </c>
    </row>
    <row r="424" spans="1:21" x14ac:dyDescent="0.3">
      <c r="A424" t="s">
        <v>38</v>
      </c>
      <c r="B424" s="27" t="s">
        <v>3429</v>
      </c>
      <c r="C424" s="2" t="s">
        <v>1838</v>
      </c>
      <c r="D424" s="2" t="s">
        <v>3430</v>
      </c>
      <c r="E424" s="19">
        <v>25070020</v>
      </c>
      <c r="F424" s="2" t="s">
        <v>2153</v>
      </c>
      <c r="G424" s="2" t="s">
        <v>3431</v>
      </c>
      <c r="H424" s="2" t="s">
        <v>3428</v>
      </c>
      <c r="I424" s="2" t="s">
        <v>2153</v>
      </c>
      <c r="J424" s="2" t="s">
        <v>3432</v>
      </c>
      <c r="K424" s="2">
        <v>2</v>
      </c>
      <c r="L424" s="2" t="s">
        <v>3433</v>
      </c>
      <c r="M424" s="2"/>
      <c r="N424" s="2"/>
      <c r="O424" s="2" t="s">
        <v>3424</v>
      </c>
      <c r="P424" s="2" t="s">
        <v>3424</v>
      </c>
      <c r="Q424" s="2"/>
      <c r="R424" s="2" t="s">
        <v>28</v>
      </c>
      <c r="S424" s="2" t="s">
        <v>3434</v>
      </c>
      <c r="T424" s="74" t="s">
        <v>3435</v>
      </c>
      <c r="U424" s="74" t="s">
        <v>3424</v>
      </c>
    </row>
    <row r="425" spans="1:21" x14ac:dyDescent="0.3">
      <c r="A425" t="s">
        <v>38</v>
      </c>
      <c r="B425" s="27" t="s">
        <v>3436</v>
      </c>
      <c r="C425" s="2" t="s">
        <v>3437</v>
      </c>
      <c r="D425" s="2"/>
      <c r="E425" s="2" t="s">
        <v>3438</v>
      </c>
      <c r="F425" s="2" t="s">
        <v>1296</v>
      </c>
      <c r="G425" s="2" t="s">
        <v>3439</v>
      </c>
      <c r="H425" s="2" t="s">
        <v>3428</v>
      </c>
      <c r="I425" s="2" t="s">
        <v>1296</v>
      </c>
      <c r="J425" s="2" t="s">
        <v>3440</v>
      </c>
      <c r="K425" s="2" t="s">
        <v>3441</v>
      </c>
      <c r="L425" s="2" t="s">
        <v>3442</v>
      </c>
      <c r="M425" s="5">
        <v>1</v>
      </c>
      <c r="N425" s="2"/>
      <c r="O425" s="2" t="s">
        <v>3443</v>
      </c>
      <c r="P425" s="2" t="s">
        <v>3410</v>
      </c>
      <c r="Q425" s="2"/>
      <c r="R425" s="2" t="s">
        <v>28</v>
      </c>
      <c r="S425" s="2"/>
      <c r="T425" s="74" t="s">
        <v>38</v>
      </c>
      <c r="U425" s="74" t="s">
        <v>3444</v>
      </c>
    </row>
    <row r="426" spans="1:21" ht="57.6" x14ac:dyDescent="0.3">
      <c r="A426" t="s">
        <v>38</v>
      </c>
      <c r="B426" s="27" t="s">
        <v>2427</v>
      </c>
      <c r="C426" t="s">
        <v>3445</v>
      </c>
      <c r="D426" s="2" t="s">
        <v>3446</v>
      </c>
      <c r="E426" t="s">
        <v>3447</v>
      </c>
      <c r="F426" s="2" t="s">
        <v>1462</v>
      </c>
      <c r="G426" s="346" t="s">
        <v>3448</v>
      </c>
      <c r="H426" s="2" t="s">
        <v>3248</v>
      </c>
      <c r="I426" s="2" t="s">
        <v>1462</v>
      </c>
      <c r="J426" s="2" t="s">
        <v>137</v>
      </c>
      <c r="K426" s="44">
        <v>579.5</v>
      </c>
      <c r="L426" s="2" t="s">
        <v>3449</v>
      </c>
      <c r="M426" s="5">
        <v>28</v>
      </c>
      <c r="N426" s="5">
        <v>20</v>
      </c>
      <c r="O426" s="2" t="s">
        <v>1230</v>
      </c>
      <c r="P426" s="2" t="s">
        <v>3410</v>
      </c>
      <c r="Q426" s="2" t="s">
        <v>1277</v>
      </c>
      <c r="R426" s="2" t="s">
        <v>28</v>
      </c>
      <c r="S426" s="2"/>
      <c r="T426" s="343" t="s">
        <v>3450</v>
      </c>
      <c r="U426" s="343" t="s">
        <v>3451</v>
      </c>
    </row>
    <row r="427" spans="1:21" ht="57.6" x14ac:dyDescent="0.3">
      <c r="A427" t="s">
        <v>38</v>
      </c>
      <c r="B427" s="27" t="s">
        <v>2555</v>
      </c>
      <c r="C427" s="2" t="s">
        <v>3452</v>
      </c>
      <c r="D427" s="2" t="s">
        <v>3420</v>
      </c>
      <c r="E427" s="2" t="s">
        <v>3453</v>
      </c>
      <c r="F427" s="2" t="s">
        <v>1296</v>
      </c>
      <c r="G427" s="2" t="s">
        <v>3454</v>
      </c>
      <c r="H427" s="2" t="s">
        <v>3455</v>
      </c>
      <c r="I427" s="2" t="s">
        <v>3456</v>
      </c>
      <c r="J427" s="266" t="s">
        <v>3457</v>
      </c>
      <c r="K427" s="244" t="s">
        <v>3458</v>
      </c>
      <c r="L427" s="266" t="s">
        <v>3459</v>
      </c>
      <c r="M427" s="5">
        <v>1</v>
      </c>
      <c r="N427" s="2"/>
      <c r="O427" s="2" t="s">
        <v>3460</v>
      </c>
      <c r="P427" s="2" t="s">
        <v>3461</v>
      </c>
      <c r="Q427" s="2"/>
      <c r="R427" s="2" t="s">
        <v>28</v>
      </c>
      <c r="S427" s="2"/>
      <c r="T427" s="74" t="s">
        <v>38</v>
      </c>
      <c r="U427" s="74" t="s">
        <v>3462</v>
      </c>
    </row>
    <row r="428" spans="1:21" ht="43.2" x14ac:dyDescent="0.3">
      <c r="A428" s="439" t="s">
        <v>4964</v>
      </c>
      <c r="B428" s="261" t="s">
        <v>2427</v>
      </c>
      <c r="C428" s="2"/>
      <c r="D428" s="252" t="s">
        <v>3261</v>
      </c>
      <c r="E428" s="2" t="s">
        <v>3463</v>
      </c>
      <c r="F428" s="252" t="s">
        <v>1462</v>
      </c>
      <c r="G428" s="19">
        <v>251602227</v>
      </c>
      <c r="H428" s="252" t="s">
        <v>3311</v>
      </c>
      <c r="I428" s="252" t="s">
        <v>1462</v>
      </c>
      <c r="J428" s="252" t="s">
        <v>3181</v>
      </c>
      <c r="K428" s="252">
        <v>125.5</v>
      </c>
      <c r="L428" s="252" t="s">
        <v>3464</v>
      </c>
      <c r="M428" s="283">
        <v>5</v>
      </c>
      <c r="N428" s="283">
        <v>20</v>
      </c>
      <c r="O428" s="252" t="s">
        <v>1230</v>
      </c>
      <c r="P428" s="252" t="s">
        <v>3444</v>
      </c>
      <c r="Q428" s="252" t="s">
        <v>26</v>
      </c>
      <c r="R428" s="252" t="s">
        <v>28</v>
      </c>
      <c r="S428" s="252" t="s">
        <v>1230</v>
      </c>
      <c r="T428" s="282" t="s">
        <v>55</v>
      </c>
      <c r="U428" s="282" t="s">
        <v>3465</v>
      </c>
    </row>
    <row r="429" spans="1:21" ht="57.6" x14ac:dyDescent="0.3">
      <c r="A429" t="s">
        <v>38</v>
      </c>
      <c r="B429" s="27" t="s">
        <v>3466</v>
      </c>
      <c r="C429" s="2" t="s">
        <v>3467</v>
      </c>
      <c r="D429" s="2" t="s">
        <v>3443</v>
      </c>
      <c r="E429" s="2">
        <v>188</v>
      </c>
      <c r="F429" s="2" t="s">
        <v>1296</v>
      </c>
      <c r="G429" s="2" t="s">
        <v>3468</v>
      </c>
      <c r="H429" s="2" t="s">
        <v>1233</v>
      </c>
      <c r="I429" s="2" t="s">
        <v>1296</v>
      </c>
      <c r="J429" s="266" t="s">
        <v>3469</v>
      </c>
      <c r="K429" s="266" t="s">
        <v>3470</v>
      </c>
      <c r="L429" s="266" t="s">
        <v>3471</v>
      </c>
      <c r="M429" s="2"/>
      <c r="N429" s="2"/>
      <c r="O429" s="2" t="s">
        <v>3472</v>
      </c>
      <c r="P429" s="2" t="s">
        <v>1263</v>
      </c>
      <c r="Q429" s="2"/>
      <c r="R429" s="2" t="s">
        <v>28</v>
      </c>
      <c r="S429" s="2"/>
      <c r="T429" s="74" t="s">
        <v>38</v>
      </c>
      <c r="U429" s="74" t="s">
        <v>1263</v>
      </c>
    </row>
    <row r="430" spans="1:21" ht="43.2" x14ac:dyDescent="0.3">
      <c r="A430" t="s">
        <v>38</v>
      </c>
      <c r="B430" s="27" t="s">
        <v>3473</v>
      </c>
      <c r="C430" s="2" t="s">
        <v>3474</v>
      </c>
      <c r="D430" s="2" t="s">
        <v>1233</v>
      </c>
      <c r="E430" s="2" t="s">
        <v>3475</v>
      </c>
      <c r="F430" s="2" t="s">
        <v>1296</v>
      </c>
      <c r="G430" s="2" t="s">
        <v>3476</v>
      </c>
      <c r="H430" s="2" t="s">
        <v>3477</v>
      </c>
      <c r="I430" s="2" t="s">
        <v>1296</v>
      </c>
      <c r="J430" s="266" t="s">
        <v>3478</v>
      </c>
      <c r="K430" s="266" t="s">
        <v>3479</v>
      </c>
      <c r="L430" s="266" t="s">
        <v>3480</v>
      </c>
      <c r="M430" s="5">
        <v>1</v>
      </c>
      <c r="N430" s="2"/>
      <c r="O430" s="2" t="s">
        <v>1277</v>
      </c>
      <c r="P430" s="2" t="s">
        <v>1242</v>
      </c>
      <c r="Q430" s="2"/>
      <c r="R430" s="2" t="s">
        <v>121</v>
      </c>
      <c r="S430" s="2"/>
      <c r="T430" s="74" t="s">
        <v>38</v>
      </c>
      <c r="U430" s="74" t="s">
        <v>26</v>
      </c>
    </row>
    <row r="431" spans="1:21" ht="28.8" x14ac:dyDescent="0.3">
      <c r="A431" t="s">
        <v>38</v>
      </c>
      <c r="B431" s="27" t="s">
        <v>2417</v>
      </c>
      <c r="C431" s="2" t="s">
        <v>3481</v>
      </c>
      <c r="D431" s="2" t="s">
        <v>3293</v>
      </c>
      <c r="E431" s="2" t="s">
        <v>3482</v>
      </c>
      <c r="F431" s="2" t="s">
        <v>1232</v>
      </c>
      <c r="G431" s="266" t="s">
        <v>3483</v>
      </c>
      <c r="H431" s="2" t="s">
        <v>3484</v>
      </c>
      <c r="I431" s="2" t="s">
        <v>1232</v>
      </c>
      <c r="J431" s="2" t="s">
        <v>1311</v>
      </c>
      <c r="K431" s="44">
        <v>7</v>
      </c>
      <c r="L431" s="2" t="s">
        <v>2628</v>
      </c>
      <c r="M431" s="5">
        <v>1</v>
      </c>
      <c r="N431" s="5">
        <v>20</v>
      </c>
      <c r="O431" s="2" t="s">
        <v>3424</v>
      </c>
      <c r="P431" s="2" t="s">
        <v>1263</v>
      </c>
      <c r="Q431" s="2" t="s">
        <v>3485</v>
      </c>
      <c r="R431" s="2" t="s">
        <v>28</v>
      </c>
      <c r="S431" s="2"/>
      <c r="T431" s="18" t="s">
        <v>38</v>
      </c>
      <c r="U431" s="18" t="s">
        <v>3486</v>
      </c>
    </row>
    <row r="432" spans="1:21" ht="86.4" x14ac:dyDescent="0.3">
      <c r="A432" t="s">
        <v>38</v>
      </c>
      <c r="B432" s="369" t="s">
        <v>3487</v>
      </c>
      <c r="C432" s="470" t="s">
        <v>3488</v>
      </c>
      <c r="D432" s="2" t="s">
        <v>2883</v>
      </c>
      <c r="E432" s="470" t="s">
        <v>3489</v>
      </c>
      <c r="F432" s="2" t="s">
        <v>3490</v>
      </c>
      <c r="G432" s="2" t="s">
        <v>3491</v>
      </c>
      <c r="H432" s="2" t="s">
        <v>3163</v>
      </c>
      <c r="I432" s="2" t="s">
        <v>3456</v>
      </c>
      <c r="J432" s="515" t="s">
        <v>3492</v>
      </c>
      <c r="K432" s="516" t="s">
        <v>3493</v>
      </c>
      <c r="L432" s="266" t="s">
        <v>3494</v>
      </c>
      <c r="M432" s="5">
        <v>1</v>
      </c>
      <c r="N432" s="5">
        <v>20</v>
      </c>
      <c r="O432" s="2" t="s">
        <v>1256</v>
      </c>
      <c r="P432" s="2" t="s">
        <v>3495</v>
      </c>
      <c r="Q432" s="2" t="s">
        <v>1236</v>
      </c>
      <c r="R432" s="2" t="s">
        <v>28</v>
      </c>
      <c r="S432" s="2"/>
      <c r="T432" s="18" t="s">
        <v>38</v>
      </c>
      <c r="U432" s="18" t="s">
        <v>3496</v>
      </c>
    </row>
    <row r="433" spans="1:21" ht="72" x14ac:dyDescent="0.3">
      <c r="A433" t="s">
        <v>60</v>
      </c>
      <c r="B433" s="261" t="s">
        <v>2402</v>
      </c>
      <c r="C433" s="252" t="s">
        <v>3497</v>
      </c>
      <c r="D433" s="252" t="s">
        <v>3462</v>
      </c>
      <c r="E433" s="252" t="s">
        <v>3498</v>
      </c>
      <c r="F433" s="252" t="s">
        <v>1296</v>
      </c>
      <c r="G433" s="252" t="s">
        <v>3499</v>
      </c>
      <c r="H433" s="252" t="s">
        <v>3500</v>
      </c>
      <c r="I433" s="252" t="s">
        <v>1296</v>
      </c>
      <c r="J433" s="252" t="s">
        <v>3501</v>
      </c>
      <c r="K433" s="283" t="s">
        <v>3470</v>
      </c>
      <c r="L433" s="252" t="s">
        <v>3502</v>
      </c>
      <c r="M433" s="252">
        <v>1</v>
      </c>
      <c r="N433" s="252"/>
      <c r="O433" s="252" t="s">
        <v>3496</v>
      </c>
      <c r="P433" s="252" t="s">
        <v>3503</v>
      </c>
      <c r="Q433" s="252"/>
      <c r="R433" s="252" t="s">
        <v>28</v>
      </c>
      <c r="S433" s="252"/>
      <c r="T433" s="74" t="s">
        <v>38</v>
      </c>
      <c r="U433" s="303" t="s">
        <v>3503</v>
      </c>
    </row>
    <row r="434" spans="1:21" ht="43.2" x14ac:dyDescent="0.3">
      <c r="A434" t="s">
        <v>38</v>
      </c>
      <c r="B434" s="261" t="s">
        <v>3504</v>
      </c>
      <c r="C434" s="252" t="s">
        <v>3505</v>
      </c>
      <c r="D434" s="252"/>
      <c r="E434" s="252" t="s">
        <v>3506</v>
      </c>
      <c r="F434" s="252" t="s">
        <v>3369</v>
      </c>
      <c r="G434" s="252" t="s">
        <v>3507</v>
      </c>
      <c r="H434" s="252" t="s">
        <v>3369</v>
      </c>
      <c r="I434" s="252" t="s">
        <v>1232</v>
      </c>
      <c r="J434" s="252" t="s">
        <v>2149</v>
      </c>
      <c r="K434" s="283" t="s">
        <v>3508</v>
      </c>
      <c r="L434" s="252" t="s">
        <v>3509</v>
      </c>
      <c r="M434" s="283">
        <v>1</v>
      </c>
      <c r="N434" s="283">
        <v>40</v>
      </c>
      <c r="O434" s="252" t="s">
        <v>3510</v>
      </c>
      <c r="P434" s="252" t="s">
        <v>3486</v>
      </c>
      <c r="Q434" s="252" t="s">
        <v>3511</v>
      </c>
      <c r="R434" s="252" t="s">
        <v>28</v>
      </c>
      <c r="S434" s="252"/>
      <c r="T434" t="s">
        <v>38</v>
      </c>
      <c r="U434" t="s">
        <v>5001</v>
      </c>
    </row>
    <row r="435" spans="1:21" ht="43.2" x14ac:dyDescent="0.3">
      <c r="A435" t="s">
        <v>60</v>
      </c>
      <c r="B435" s="261" t="s">
        <v>3504</v>
      </c>
      <c r="C435" s="252" t="s">
        <v>1252</v>
      </c>
      <c r="D435" s="252"/>
      <c r="E435" s="252" t="s">
        <v>3513</v>
      </c>
      <c r="F435" s="252" t="s">
        <v>3369</v>
      </c>
      <c r="G435" s="252" t="s">
        <v>3514</v>
      </c>
      <c r="H435" s="252" t="s">
        <v>3369</v>
      </c>
      <c r="I435" s="252" t="s">
        <v>1232</v>
      </c>
      <c r="J435" s="252" t="s">
        <v>3515</v>
      </c>
      <c r="K435" s="283" t="s">
        <v>3508</v>
      </c>
      <c r="L435" s="252" t="s">
        <v>3509</v>
      </c>
      <c r="M435" s="252">
        <v>1</v>
      </c>
      <c r="N435" s="252">
        <v>40</v>
      </c>
      <c r="O435" s="252" t="s">
        <v>3510</v>
      </c>
      <c r="P435" s="252" t="s">
        <v>3486</v>
      </c>
      <c r="Q435" s="252" t="s">
        <v>3511</v>
      </c>
      <c r="R435" s="252" t="s">
        <v>28</v>
      </c>
      <c r="S435" s="252"/>
      <c r="T435" s="282" t="s">
        <v>2772</v>
      </c>
      <c r="U435" s="282" t="s">
        <v>5001</v>
      </c>
    </row>
    <row r="436" spans="1:21" ht="86.4" x14ac:dyDescent="0.3">
      <c r="A436" t="s">
        <v>38</v>
      </c>
      <c r="B436" s="27" t="s">
        <v>3516</v>
      </c>
      <c r="C436" s="2" t="s">
        <v>3517</v>
      </c>
      <c r="D436" s="2" t="s">
        <v>3518</v>
      </c>
      <c r="E436" s="2" t="s">
        <v>3519</v>
      </c>
      <c r="F436" s="2" t="s">
        <v>1296</v>
      </c>
      <c r="G436" s="2" t="s">
        <v>3520</v>
      </c>
      <c r="H436" s="2" t="s">
        <v>3503</v>
      </c>
      <c r="I436" s="2" t="s">
        <v>1296</v>
      </c>
      <c r="J436" s="266" t="s">
        <v>3521</v>
      </c>
      <c r="K436" s="266" t="s">
        <v>3522</v>
      </c>
      <c r="L436" s="2" t="s">
        <v>3523</v>
      </c>
      <c r="M436" s="5">
        <v>1</v>
      </c>
      <c r="N436" s="2"/>
      <c r="O436" s="2" t="s">
        <v>3512</v>
      </c>
      <c r="P436" s="2" t="s">
        <v>3524</v>
      </c>
      <c r="Q436" s="2"/>
      <c r="R436" s="2" t="s">
        <v>28</v>
      </c>
      <c r="S436" s="2"/>
      <c r="T436" s="18" t="s">
        <v>38</v>
      </c>
      <c r="U436" s="18" t="s">
        <v>27</v>
      </c>
    </row>
    <row r="437" spans="1:21" ht="43.2" x14ac:dyDescent="0.3">
      <c r="A437" t="s">
        <v>287</v>
      </c>
      <c r="B437" s="519" t="s">
        <v>3525</v>
      </c>
      <c r="C437" s="328" t="s">
        <v>3526</v>
      </c>
      <c r="D437" s="328" t="s">
        <v>3262</v>
      </c>
      <c r="E437" s="328" t="s">
        <v>3527</v>
      </c>
      <c r="F437" s="328" t="s">
        <v>1296</v>
      </c>
      <c r="G437" s="328" t="s">
        <v>3528</v>
      </c>
      <c r="H437" s="328" t="s">
        <v>3496</v>
      </c>
      <c r="I437" s="328" t="s">
        <v>1296</v>
      </c>
      <c r="J437" s="328" t="s">
        <v>3529</v>
      </c>
      <c r="K437" s="520" t="s">
        <v>3530</v>
      </c>
      <c r="L437" s="328" t="s">
        <v>3531</v>
      </c>
      <c r="M437">
        <v>1</v>
      </c>
      <c r="O437" s="328" t="s">
        <v>1278</v>
      </c>
      <c r="P437" s="328" t="s">
        <v>27</v>
      </c>
      <c r="R437" s="328" t="s">
        <v>121</v>
      </c>
      <c r="T437" s="74" t="s">
        <v>1683</v>
      </c>
      <c r="U437" s="282" t="s">
        <v>27</v>
      </c>
    </row>
    <row r="438" spans="1:21" ht="28.8" x14ac:dyDescent="0.3">
      <c r="A438" s="439" t="s">
        <v>4963</v>
      </c>
      <c r="B438" s="27" t="s">
        <v>3532</v>
      </c>
      <c r="C438" s="2" t="s">
        <v>3533</v>
      </c>
      <c r="D438" s="2" t="s">
        <v>3534</v>
      </c>
      <c r="E438" s="2" t="s">
        <v>3535</v>
      </c>
      <c r="F438" s="2" t="s">
        <v>1462</v>
      </c>
      <c r="G438" s="19">
        <v>252761980</v>
      </c>
      <c r="H438" s="2" t="s">
        <v>3446</v>
      </c>
      <c r="I438" s="2" t="s">
        <v>1462</v>
      </c>
      <c r="J438" s="2" t="s">
        <v>3408</v>
      </c>
      <c r="K438" s="5">
        <v>243.33</v>
      </c>
      <c r="L438" s="2" t="s">
        <v>3415</v>
      </c>
      <c r="M438" s="5">
        <v>11</v>
      </c>
      <c r="N438" s="5">
        <v>20</v>
      </c>
      <c r="O438" s="2" t="s">
        <v>3500</v>
      </c>
      <c r="P438" s="2" t="s">
        <v>3485</v>
      </c>
      <c r="Q438" s="2" t="s">
        <v>3536</v>
      </c>
      <c r="R438" s="2" t="s">
        <v>3537</v>
      </c>
      <c r="S438" s="2"/>
      <c r="T438" s="343" t="s">
        <v>4965</v>
      </c>
      <c r="U438" s="343" t="s">
        <v>4966</v>
      </c>
    </row>
    <row r="439" spans="1:21" ht="43.2" x14ac:dyDescent="0.3">
      <c r="A439" t="s">
        <v>60</v>
      </c>
      <c r="B439" s="27" t="s">
        <v>1269</v>
      </c>
      <c r="C439" s="252" t="s">
        <v>1270</v>
      </c>
      <c r="D439" s="252"/>
      <c r="E439" s="2" t="s">
        <v>1271</v>
      </c>
      <c r="F439" s="252" t="s">
        <v>1272</v>
      </c>
      <c r="G439" s="252" t="s">
        <v>1273</v>
      </c>
      <c r="H439" s="252" t="s">
        <v>1274</v>
      </c>
      <c r="I439" s="252" t="s">
        <v>1272</v>
      </c>
      <c r="J439" s="252" t="s">
        <v>1275</v>
      </c>
      <c r="K439" s="283" t="s">
        <v>1265</v>
      </c>
      <c r="L439" s="252" t="s">
        <v>1276</v>
      </c>
      <c r="M439" s="252">
        <v>3</v>
      </c>
      <c r="N439" s="252">
        <v>20</v>
      </c>
      <c r="O439" s="252" t="s">
        <v>1277</v>
      </c>
      <c r="P439" s="252" t="s">
        <v>1278</v>
      </c>
      <c r="Q439" s="252" t="s">
        <v>1267</v>
      </c>
      <c r="R439" s="252" t="s">
        <v>28</v>
      </c>
      <c r="S439" s="252"/>
      <c r="T439" s="282" t="s">
        <v>1428</v>
      </c>
      <c r="U439" s="282" t="s">
        <v>4967</v>
      </c>
    </row>
    <row r="440" spans="1:21" ht="43.2" x14ac:dyDescent="0.3">
      <c r="A440" t="s">
        <v>60</v>
      </c>
      <c r="B440" s="27" t="s">
        <v>1269</v>
      </c>
      <c r="C440" s="252" t="s">
        <v>1252</v>
      </c>
      <c r="D440" s="252"/>
      <c r="E440" s="2" t="s">
        <v>1279</v>
      </c>
      <c r="F440" s="252" t="s">
        <v>1272</v>
      </c>
      <c r="G440" s="252" t="s">
        <v>1280</v>
      </c>
      <c r="H440" s="252" t="s">
        <v>1274</v>
      </c>
      <c r="I440" s="252" t="s">
        <v>1272</v>
      </c>
      <c r="J440" s="252" t="s">
        <v>1275</v>
      </c>
      <c r="K440" s="283" t="s">
        <v>1265</v>
      </c>
      <c r="L440" s="252" t="s">
        <v>1276</v>
      </c>
      <c r="M440" s="252">
        <v>3</v>
      </c>
      <c r="N440" s="252">
        <v>20</v>
      </c>
      <c r="O440" s="252" t="s">
        <v>1277</v>
      </c>
      <c r="P440" s="252" t="s">
        <v>1278</v>
      </c>
      <c r="Q440" s="252" t="s">
        <v>1267</v>
      </c>
      <c r="R440" s="252" t="s">
        <v>28</v>
      </c>
      <c r="S440" s="252"/>
      <c r="T440" s="282" t="s">
        <v>1428</v>
      </c>
      <c r="U440" s="282" t="s">
        <v>4967</v>
      </c>
    </row>
    <row r="441" spans="1:21" x14ac:dyDescent="0.3">
      <c r="A441" t="s">
        <v>38</v>
      </c>
      <c r="B441" s="27" t="s">
        <v>4972</v>
      </c>
      <c r="C441" s="2" t="s">
        <v>1597</v>
      </c>
      <c r="D441" s="2"/>
      <c r="E441" s="19">
        <v>1400000197</v>
      </c>
      <c r="F441" s="2" t="s">
        <v>1296</v>
      </c>
      <c r="G441" s="2" t="s">
        <v>4977</v>
      </c>
      <c r="H441" s="2" t="s">
        <v>27</v>
      </c>
      <c r="I441" s="2" t="s">
        <v>1296</v>
      </c>
      <c r="J441" s="7" t="s">
        <v>865</v>
      </c>
      <c r="K441" s="48">
        <v>66</v>
      </c>
      <c r="L441" s="2" t="s">
        <v>4980</v>
      </c>
      <c r="M441" s="5">
        <v>1</v>
      </c>
      <c r="N441" s="5">
        <v>20</v>
      </c>
      <c r="O441" s="2" t="s">
        <v>4978</v>
      </c>
      <c r="P441" s="2" t="s">
        <v>4979</v>
      </c>
      <c r="Q441" s="2">
        <v>3</v>
      </c>
      <c r="R441" s="2" t="s">
        <v>121</v>
      </c>
      <c r="S441" s="2"/>
      <c r="T441" s="18" t="s">
        <v>38</v>
      </c>
      <c r="U441" s="282" t="s">
        <v>4988</v>
      </c>
    </row>
    <row r="442" spans="1:21" x14ac:dyDescent="0.3">
      <c r="A442" t="s">
        <v>60</v>
      </c>
      <c r="B442" s="27" t="s">
        <v>16</v>
      </c>
      <c r="C442" s="2" t="s">
        <v>17</v>
      </c>
      <c r="D442" s="2" t="s">
        <v>18</v>
      </c>
      <c r="E442" s="2" t="s">
        <v>19</v>
      </c>
      <c r="F442" s="2" t="s">
        <v>20</v>
      </c>
      <c r="G442" s="2" t="s">
        <v>21</v>
      </c>
      <c r="H442" s="2" t="s">
        <v>22</v>
      </c>
      <c r="I442" s="2" t="s">
        <v>23</v>
      </c>
      <c r="J442" s="2" t="s">
        <v>24</v>
      </c>
      <c r="K442" s="2">
        <v>109.35</v>
      </c>
      <c r="L442" s="2" t="s">
        <v>25</v>
      </c>
      <c r="M442" s="2">
        <v>6</v>
      </c>
      <c r="N442" s="2">
        <v>20</v>
      </c>
      <c r="O442" s="2" t="s">
        <v>26</v>
      </c>
      <c r="P442" s="2" t="s">
        <v>27</v>
      </c>
      <c r="Q442" s="2" t="s">
        <v>4984</v>
      </c>
      <c r="R442" s="2" t="s">
        <v>28</v>
      </c>
      <c r="S442" s="2"/>
      <c r="T442" s="18" t="s">
        <v>287</v>
      </c>
      <c r="U442" s="18" t="s">
        <v>3536</v>
      </c>
    </row>
    <row r="443" spans="1:21" ht="86.4" x14ac:dyDescent="0.3">
      <c r="A443" s="523" t="s">
        <v>344</v>
      </c>
      <c r="B443" s="523" t="s">
        <v>5008</v>
      </c>
      <c r="C443" s="523" t="s">
        <v>5009</v>
      </c>
      <c r="D443" s="523" t="s">
        <v>5010</v>
      </c>
      <c r="E443" s="523" t="s">
        <v>5011</v>
      </c>
      <c r="F443" s="523" t="s">
        <v>1296</v>
      </c>
      <c r="G443" s="523" t="s">
        <v>5012</v>
      </c>
      <c r="H443" s="523" t="s">
        <v>5004</v>
      </c>
      <c r="I443" s="523" t="s">
        <v>1340</v>
      </c>
      <c r="J443" s="524" t="s">
        <v>5013</v>
      </c>
      <c r="K443" s="523">
        <v>23.81</v>
      </c>
      <c r="L443" s="523">
        <v>103000</v>
      </c>
      <c r="M443" s="523">
        <v>1</v>
      </c>
      <c r="N443" s="523"/>
      <c r="O443" s="523" t="s">
        <v>4984</v>
      </c>
      <c r="P443" s="523" t="s">
        <v>5014</v>
      </c>
      <c r="Q443" s="523"/>
      <c r="R443" s="523" t="s">
        <v>121</v>
      </c>
      <c r="S443" s="523"/>
      <c r="T443" t="s">
        <v>1683</v>
      </c>
      <c r="U443" t="s">
        <v>5014</v>
      </c>
    </row>
    <row r="444" spans="1:21" ht="57.6" x14ac:dyDescent="0.3">
      <c r="A444" t="s">
        <v>55</v>
      </c>
      <c r="B444" s="228" t="s">
        <v>1228</v>
      </c>
      <c r="C444" s="230" t="s">
        <v>1229</v>
      </c>
      <c r="D444" s="230" t="s">
        <v>1230</v>
      </c>
      <c r="E444" s="230" t="s">
        <v>1231</v>
      </c>
      <c r="F444" s="230" t="s">
        <v>1232</v>
      </c>
      <c r="G444" s="522" t="s">
        <v>5000</v>
      </c>
      <c r="H444" s="230" t="s">
        <v>1233</v>
      </c>
      <c r="I444" s="230" t="s">
        <v>1232</v>
      </c>
      <c r="J444" s="230" t="s">
        <v>1234</v>
      </c>
      <c r="K444" s="226">
        <v>27</v>
      </c>
      <c r="L444" s="230" t="s">
        <v>1235</v>
      </c>
      <c r="M444" s="226">
        <v>1</v>
      </c>
      <c r="N444" s="226">
        <v>40</v>
      </c>
      <c r="O444" s="230" t="s">
        <v>4967</v>
      </c>
      <c r="P444" s="230" t="s">
        <v>5004</v>
      </c>
      <c r="Q444" s="230" t="s">
        <v>5005</v>
      </c>
      <c r="R444" s="230" t="s">
        <v>5003</v>
      </c>
      <c r="S444" s="230"/>
      <c r="T444" s="18" t="s">
        <v>55</v>
      </c>
      <c r="U444" s="282" t="s">
        <v>4984</v>
      </c>
    </row>
    <row r="445" spans="1:21" ht="15.6" x14ac:dyDescent="0.3">
      <c r="A445" t="s">
        <v>38</v>
      </c>
      <c r="B445" s="473" t="s">
        <v>1314</v>
      </c>
      <c r="C445" s="21" t="s">
        <v>4971</v>
      </c>
      <c r="D445" s="2" t="s">
        <v>4981</v>
      </c>
      <c r="E445" s="521">
        <v>6001590525</v>
      </c>
      <c r="F445" s="2" t="s">
        <v>1318</v>
      </c>
      <c r="G445" s="2" t="s">
        <v>4991</v>
      </c>
      <c r="H445" s="2" t="s">
        <v>4978</v>
      </c>
      <c r="I445" s="2" t="s">
        <v>1318</v>
      </c>
      <c r="J445" s="7" t="s">
        <v>152</v>
      </c>
      <c r="K445" s="48">
        <v>20</v>
      </c>
      <c r="L445" s="2" t="s">
        <v>4976</v>
      </c>
      <c r="M445" s="5">
        <v>1</v>
      </c>
      <c r="N445" s="5">
        <v>20</v>
      </c>
      <c r="O445" s="2" t="s">
        <v>4990</v>
      </c>
      <c r="P445" s="2" t="s">
        <v>5006</v>
      </c>
      <c r="Q445" s="2" t="s">
        <v>5007</v>
      </c>
      <c r="R445" s="2" t="s">
        <v>5003</v>
      </c>
      <c r="S445" s="2"/>
      <c r="T445" s="18" t="s">
        <v>38</v>
      </c>
      <c r="U445" s="282" t="s">
        <v>5024</v>
      </c>
    </row>
    <row r="446" spans="1:21" ht="57.6" x14ac:dyDescent="0.3">
      <c r="A446" t="s">
        <v>60</v>
      </c>
      <c r="B446" s="252" t="s">
        <v>1259</v>
      </c>
      <c r="C446" s="252" t="s">
        <v>1260</v>
      </c>
      <c r="D446" s="252"/>
      <c r="E446" s="251">
        <v>59505</v>
      </c>
      <c r="F446" s="252" t="s">
        <v>1261</v>
      </c>
      <c r="G446" s="2" t="s">
        <v>1262</v>
      </c>
      <c r="H446" s="252" t="s">
        <v>1263</v>
      </c>
      <c r="I446" s="252" t="s">
        <v>1264</v>
      </c>
      <c r="J446" s="252" t="s">
        <v>1257</v>
      </c>
      <c r="K446" s="283">
        <v>75</v>
      </c>
      <c r="L446" s="252" t="s">
        <v>1266</v>
      </c>
      <c r="M446" s="252">
        <v>3</v>
      </c>
      <c r="N446" s="252">
        <v>20</v>
      </c>
      <c r="O446" s="252" t="s">
        <v>4984</v>
      </c>
      <c r="P446" s="252" t="s">
        <v>4985</v>
      </c>
      <c r="Q446" s="252">
        <v>14</v>
      </c>
      <c r="R446" s="252" t="s">
        <v>28</v>
      </c>
      <c r="S446" s="252" t="s">
        <v>60</v>
      </c>
      <c r="T446" s="328" t="s">
        <v>60</v>
      </c>
      <c r="U446" s="282" t="s">
        <v>4997</v>
      </c>
    </row>
    <row r="447" spans="1:21" ht="86.4" x14ac:dyDescent="0.3">
      <c r="A447" t="s">
        <v>38</v>
      </c>
      <c r="B447" s="27" t="s">
        <v>1237</v>
      </c>
      <c r="C447" s="2" t="s">
        <v>1238</v>
      </c>
      <c r="D447" s="2"/>
      <c r="E447" s="2" t="s">
        <v>1240</v>
      </c>
      <c r="F447" s="2" t="s">
        <v>1232</v>
      </c>
      <c r="G447" s="2" t="s">
        <v>1241</v>
      </c>
      <c r="H447" s="2" t="s">
        <v>1242</v>
      </c>
      <c r="I447" s="2" t="s">
        <v>1232</v>
      </c>
      <c r="J447" s="266" t="s">
        <v>1243</v>
      </c>
      <c r="K447" s="518" t="s">
        <v>1244</v>
      </c>
      <c r="L447" s="266" t="s">
        <v>1245</v>
      </c>
      <c r="M447" s="5">
        <v>1</v>
      </c>
      <c r="N447" s="5">
        <v>40</v>
      </c>
      <c r="O447" s="2" t="s">
        <v>4999</v>
      </c>
      <c r="P447" s="2" t="s">
        <v>5018</v>
      </c>
      <c r="Q447" s="2" t="s">
        <v>4985</v>
      </c>
      <c r="R447" s="2" t="s">
        <v>4987</v>
      </c>
      <c r="S447" s="2"/>
      <c r="T447" s="18" t="s">
        <v>38</v>
      </c>
      <c r="U447" s="18" t="s">
        <v>4997</v>
      </c>
    </row>
    <row r="448" spans="1:21" ht="28.8" x14ac:dyDescent="0.3">
      <c r="A448" t="s">
        <v>60</v>
      </c>
      <c r="B448" s="473" t="s">
        <v>1314</v>
      </c>
      <c r="C448" s="29" t="s">
        <v>4968</v>
      </c>
      <c r="D448" s="252" t="s">
        <v>4981</v>
      </c>
      <c r="E448" s="6">
        <v>6001590527</v>
      </c>
      <c r="F448" s="252" t="s">
        <v>1318</v>
      </c>
      <c r="G448" s="252" t="s">
        <v>4989</v>
      </c>
      <c r="H448" s="252" t="s">
        <v>4978</v>
      </c>
      <c r="I448" s="252" t="s">
        <v>1318</v>
      </c>
      <c r="J448" s="7" t="s">
        <v>152</v>
      </c>
      <c r="K448" s="48">
        <v>40</v>
      </c>
      <c r="L448" s="252" t="s">
        <v>4969</v>
      </c>
      <c r="M448" s="252">
        <v>2</v>
      </c>
      <c r="N448" s="252">
        <v>20</v>
      </c>
      <c r="O448" s="252" t="s">
        <v>4990</v>
      </c>
      <c r="P448" s="252" t="s">
        <v>5006</v>
      </c>
      <c r="Q448" s="252" t="s">
        <v>5007</v>
      </c>
      <c r="R448" s="252" t="s">
        <v>5003</v>
      </c>
      <c r="S448" s="252"/>
      <c r="T448" s="328" t="s">
        <v>60</v>
      </c>
      <c r="U448" s="282" t="s">
        <v>5027</v>
      </c>
    </row>
    <row r="449" spans="1:21" ht="28.8" x14ac:dyDescent="0.3">
      <c r="A449" t="s">
        <v>38</v>
      </c>
      <c r="B449" s="2" t="s">
        <v>1219</v>
      </c>
      <c r="C449" s="2" t="s">
        <v>1220</v>
      </c>
      <c r="D449" s="2" t="s">
        <v>1221</v>
      </c>
      <c r="E449" s="2" t="s">
        <v>1222</v>
      </c>
      <c r="F449" s="2" t="s">
        <v>1223</v>
      </c>
      <c r="G449" s="346" t="s">
        <v>1224</v>
      </c>
      <c r="H449" s="2" t="s">
        <v>1225</v>
      </c>
      <c r="I449" s="2" t="s">
        <v>1223</v>
      </c>
      <c r="J449" s="2" t="s">
        <v>1226</v>
      </c>
      <c r="K449" s="5">
        <v>2</v>
      </c>
      <c r="L449" s="2" t="s">
        <v>1227</v>
      </c>
      <c r="M449" s="5">
        <v>1</v>
      </c>
      <c r="N449" s="5">
        <v>40</v>
      </c>
      <c r="O449" s="25" t="s">
        <v>4982</v>
      </c>
      <c r="P449" s="2" t="s">
        <v>5015</v>
      </c>
      <c r="Q449" s="2" t="s">
        <v>1817</v>
      </c>
      <c r="R449" s="2" t="s">
        <v>121</v>
      </c>
      <c r="S449" s="2"/>
      <c r="T449" s="18" t="s">
        <v>38</v>
      </c>
      <c r="U449" s="282" t="s">
        <v>5078</v>
      </c>
    </row>
    <row r="450" spans="1:21" x14ac:dyDescent="0.3">
      <c r="A450" t="s">
        <v>38</v>
      </c>
      <c r="B450" s="36" t="s">
        <v>5036</v>
      </c>
      <c r="C450" s="21" t="s">
        <v>5040</v>
      </c>
      <c r="D450" s="2" t="s">
        <v>4982</v>
      </c>
      <c r="E450" s="6" t="s">
        <v>5038</v>
      </c>
      <c r="F450" s="2" t="s">
        <v>5058</v>
      </c>
      <c r="G450" s="2" t="s">
        <v>5059</v>
      </c>
      <c r="H450" s="2" t="s">
        <v>5060</v>
      </c>
      <c r="I450" s="20" t="s">
        <v>5039</v>
      </c>
      <c r="J450" s="7" t="s">
        <v>5037</v>
      </c>
      <c r="K450" s="48">
        <v>0.2</v>
      </c>
      <c r="L450" s="20" t="s">
        <v>5050</v>
      </c>
      <c r="M450" s="5" t="s">
        <v>3556</v>
      </c>
      <c r="N450" s="5"/>
      <c r="O450" s="2" t="s">
        <v>5061</v>
      </c>
      <c r="P450" s="2"/>
      <c r="Q450" s="2"/>
      <c r="R450" s="2" t="s">
        <v>28</v>
      </c>
      <c r="S450" s="2"/>
      <c r="T450" t="s">
        <v>3435</v>
      </c>
      <c r="U450" t="s">
        <v>5077</v>
      </c>
    </row>
    <row r="451" spans="1:21" ht="57.6" x14ac:dyDescent="0.3">
      <c r="A451" t="s">
        <v>344</v>
      </c>
      <c r="B451" s="261" t="s">
        <v>1259</v>
      </c>
      <c r="C451" s="252" t="s">
        <v>1252</v>
      </c>
      <c r="D451" s="252"/>
      <c r="E451" s="251">
        <v>59505</v>
      </c>
      <c r="F451" s="252" t="s">
        <v>1261</v>
      </c>
      <c r="G451" s="2" t="s">
        <v>1268</v>
      </c>
      <c r="H451" s="252" t="s">
        <v>1263</v>
      </c>
      <c r="I451" s="252" t="s">
        <v>1264</v>
      </c>
      <c r="J451" s="252" t="s">
        <v>1257</v>
      </c>
      <c r="K451" s="283">
        <v>100</v>
      </c>
      <c r="L451" s="252" t="s">
        <v>1266</v>
      </c>
      <c r="M451" s="252">
        <v>4</v>
      </c>
      <c r="N451" s="252">
        <v>20</v>
      </c>
      <c r="O451" s="252" t="s">
        <v>4984</v>
      </c>
      <c r="P451" s="252" t="s">
        <v>4985</v>
      </c>
      <c r="Q451" s="252" t="s">
        <v>5026</v>
      </c>
      <c r="R451" s="252" t="s">
        <v>28</v>
      </c>
      <c r="S451" s="252" t="s">
        <v>60</v>
      </c>
      <c r="T451" s="328" t="s">
        <v>5093</v>
      </c>
      <c r="U451" s="282" t="s">
        <v>5094</v>
      </c>
    </row>
    <row r="452" spans="1:21" x14ac:dyDescent="0.3">
      <c r="A452" t="s">
        <v>38</v>
      </c>
      <c r="B452" s="36" t="s">
        <v>5083</v>
      </c>
      <c r="C452" s="2" t="s">
        <v>5084</v>
      </c>
      <c r="D452" s="2" t="s">
        <v>5085</v>
      </c>
      <c r="E452" s="2">
        <v>244</v>
      </c>
      <c r="F452" s="2" t="s">
        <v>1296</v>
      </c>
      <c r="G452" s="2" t="s">
        <v>5086</v>
      </c>
      <c r="H452" s="2" t="s">
        <v>5087</v>
      </c>
      <c r="I452" s="2" t="s">
        <v>1296</v>
      </c>
      <c r="J452" s="7" t="s">
        <v>5088</v>
      </c>
      <c r="K452" s="48">
        <v>10.02</v>
      </c>
      <c r="L452" s="2" t="s">
        <v>5089</v>
      </c>
      <c r="M452" s="5">
        <v>1</v>
      </c>
      <c r="N452" s="2"/>
      <c r="O452" s="2" t="s">
        <v>5079</v>
      </c>
      <c r="P452" s="2" t="s">
        <v>5029</v>
      </c>
      <c r="Q452" s="2"/>
      <c r="R452" s="2" t="s">
        <v>28</v>
      </c>
      <c r="S452" s="2"/>
      <c r="T452" s="18" t="s">
        <v>38</v>
      </c>
      <c r="U452" s="282" t="s">
        <v>5095</v>
      </c>
    </row>
    <row r="453" spans="1:21" ht="43.2" x14ac:dyDescent="0.3">
      <c r="A453" t="s">
        <v>60</v>
      </c>
      <c r="B453" s="261" t="s">
        <v>5069</v>
      </c>
      <c r="C453" s="252" t="s">
        <v>5070</v>
      </c>
      <c r="D453" s="252" t="s">
        <v>5071</v>
      </c>
      <c r="E453" s="252" t="s">
        <v>5072</v>
      </c>
      <c r="F453" s="252" t="s">
        <v>1296</v>
      </c>
      <c r="G453" s="252" t="s">
        <v>5073</v>
      </c>
      <c r="H453" s="252" t="s">
        <v>5074</v>
      </c>
      <c r="I453" s="252" t="s">
        <v>1296</v>
      </c>
      <c r="J453" s="252" t="s">
        <v>5075</v>
      </c>
      <c r="K453" s="252">
        <v>25</v>
      </c>
      <c r="L453" s="252" t="s">
        <v>5076</v>
      </c>
      <c r="M453" s="252">
        <v>1</v>
      </c>
      <c r="N453" s="252"/>
      <c r="O453" s="252" t="s">
        <v>4997</v>
      </c>
      <c r="P453" s="252" t="s">
        <v>5077</v>
      </c>
      <c r="Q453" s="252"/>
      <c r="R453" s="252" t="s">
        <v>121</v>
      </c>
      <c r="S453" s="252"/>
      <c r="T453" s="74" t="s">
        <v>2772</v>
      </c>
      <c r="U453" s="282" t="s">
        <v>5096</v>
      </c>
    </row>
    <row r="454" spans="1:21" x14ac:dyDescent="0.3">
      <c r="A454" t="s">
        <v>38</v>
      </c>
      <c r="B454" s="36" t="s">
        <v>5041</v>
      </c>
      <c r="C454" s="525" t="s">
        <v>5044</v>
      </c>
      <c r="D454" s="2" t="s">
        <v>5057</v>
      </c>
      <c r="E454" s="20" t="s">
        <v>5043</v>
      </c>
      <c r="F454" s="2" t="s">
        <v>1296</v>
      </c>
      <c r="G454" s="2" t="s">
        <v>5062</v>
      </c>
      <c r="H454" s="2" t="s">
        <v>5025</v>
      </c>
      <c r="I454" s="2" t="s">
        <v>1296</v>
      </c>
      <c r="J454" s="7" t="s">
        <v>5042</v>
      </c>
      <c r="K454" s="48">
        <v>4</v>
      </c>
      <c r="L454" s="2" t="s">
        <v>5051</v>
      </c>
      <c r="M454" s="5">
        <v>1</v>
      </c>
      <c r="N454" s="5"/>
      <c r="O454" s="2" t="s">
        <v>5079</v>
      </c>
      <c r="P454" s="2"/>
      <c r="Q454" s="2"/>
      <c r="R454" s="2" t="s">
        <v>121</v>
      </c>
      <c r="S454" s="2"/>
      <c r="T454" s="74" t="s">
        <v>38</v>
      </c>
      <c r="U454" s="282" t="s">
        <v>5097</v>
      </c>
    </row>
    <row r="455" spans="1:21" x14ac:dyDescent="0.3">
      <c r="A455" t="s">
        <v>38</v>
      </c>
      <c r="B455" s="36" t="s">
        <v>5041</v>
      </c>
      <c r="C455" s="525" t="s">
        <v>5044</v>
      </c>
      <c r="D455" s="2" t="s">
        <v>5057</v>
      </c>
      <c r="E455" s="6" t="s">
        <v>5043</v>
      </c>
      <c r="F455" s="2" t="s">
        <v>1296</v>
      </c>
      <c r="G455" s="2" t="s">
        <v>5062</v>
      </c>
      <c r="H455" s="2" t="s">
        <v>5025</v>
      </c>
      <c r="I455" s="2" t="s">
        <v>1296</v>
      </c>
      <c r="J455" s="7" t="s">
        <v>5045</v>
      </c>
      <c r="K455" s="48">
        <v>2</v>
      </c>
      <c r="L455" s="2" t="s">
        <v>5052</v>
      </c>
      <c r="M455" s="5">
        <v>1</v>
      </c>
      <c r="N455" s="5"/>
      <c r="O455" s="2" t="s">
        <v>5100</v>
      </c>
      <c r="P455" s="2"/>
      <c r="Q455" s="2"/>
      <c r="R455" s="2" t="s">
        <v>121</v>
      </c>
      <c r="S455" s="2"/>
      <c r="T455" s="74" t="s">
        <v>38</v>
      </c>
      <c r="U455" s="282" t="s">
        <v>5097</v>
      </c>
    </row>
    <row r="456" spans="1:21" x14ac:dyDescent="0.3">
      <c r="A456" t="s">
        <v>38</v>
      </c>
      <c r="B456" s="473" t="s">
        <v>5064</v>
      </c>
      <c r="C456" s="526" t="s">
        <v>5066</v>
      </c>
      <c r="D456" s="2" t="s">
        <v>2585</v>
      </c>
      <c r="E456" s="20" t="s">
        <v>5065</v>
      </c>
      <c r="F456" s="2" t="s">
        <v>1296</v>
      </c>
      <c r="G456" s="2" t="s">
        <v>5067</v>
      </c>
      <c r="H456" s="2" t="s">
        <v>4985</v>
      </c>
      <c r="I456" s="2" t="s">
        <v>1296</v>
      </c>
      <c r="J456" s="7" t="s">
        <v>5068</v>
      </c>
      <c r="K456" s="48">
        <v>1</v>
      </c>
      <c r="L456" s="19">
        <v>11599721</v>
      </c>
      <c r="M456" s="5">
        <v>3</v>
      </c>
      <c r="N456" s="2"/>
      <c r="O456" s="2" t="s">
        <v>5080</v>
      </c>
      <c r="P456" s="2"/>
      <c r="Q456" s="2"/>
      <c r="R456" s="2" t="s">
        <v>28</v>
      </c>
      <c r="S456" s="2" t="s">
        <v>5096</v>
      </c>
      <c r="T456" s="74" t="s">
        <v>38</v>
      </c>
      <c r="U456" s="282" t="s">
        <v>5098</v>
      </c>
    </row>
    <row r="457" spans="1:21" x14ac:dyDescent="0.3">
      <c r="A457" t="s">
        <v>38</v>
      </c>
      <c r="B457" s="36" t="s">
        <v>1493</v>
      </c>
      <c r="C457" s="2" t="s">
        <v>5047</v>
      </c>
      <c r="D457" s="2"/>
      <c r="E457" s="20" t="s">
        <v>5046</v>
      </c>
      <c r="F457" s="2" t="s">
        <v>1296</v>
      </c>
      <c r="G457" s="2" t="s">
        <v>5063</v>
      </c>
      <c r="H457" s="2" t="s">
        <v>5025</v>
      </c>
      <c r="I457" s="2" t="s">
        <v>1296</v>
      </c>
      <c r="J457" s="20" t="s">
        <v>893</v>
      </c>
      <c r="K457" s="48">
        <v>8</v>
      </c>
      <c r="L457" s="20" t="s">
        <v>5053</v>
      </c>
      <c r="M457" s="5">
        <v>1</v>
      </c>
      <c r="N457" s="5"/>
      <c r="O457" s="2" t="s">
        <v>5079</v>
      </c>
      <c r="P457" s="2"/>
      <c r="Q457" s="2"/>
      <c r="R457" s="2" t="s">
        <v>121</v>
      </c>
      <c r="S457" s="2"/>
      <c r="T457" s="74" t="s">
        <v>38</v>
      </c>
      <c r="U457" s="282" t="s">
        <v>5103</v>
      </c>
    </row>
    <row r="458" spans="1:21" x14ac:dyDescent="0.3">
      <c r="A458" t="s">
        <v>38</v>
      </c>
      <c r="B458" s="36" t="s">
        <v>1493</v>
      </c>
      <c r="C458" s="2" t="s">
        <v>5047</v>
      </c>
      <c r="D458" s="2"/>
      <c r="E458" s="20" t="s">
        <v>5046</v>
      </c>
      <c r="F458" s="2" t="s">
        <v>1296</v>
      </c>
      <c r="G458" s="2" t="s">
        <v>5063</v>
      </c>
      <c r="H458" s="2" t="s">
        <v>5025</v>
      </c>
      <c r="I458" s="2" t="s">
        <v>1296</v>
      </c>
      <c r="J458" s="20" t="s">
        <v>1496</v>
      </c>
      <c r="K458" s="48">
        <v>2</v>
      </c>
      <c r="L458" s="20" t="s">
        <v>5054</v>
      </c>
      <c r="M458" s="5">
        <v>1</v>
      </c>
      <c r="N458" s="5"/>
      <c r="O458" s="2" t="s">
        <v>5079</v>
      </c>
      <c r="P458" s="2"/>
      <c r="Q458" s="2"/>
      <c r="R458" s="2" t="s">
        <v>121</v>
      </c>
      <c r="S458" s="2"/>
      <c r="T458" t="s">
        <v>38</v>
      </c>
      <c r="U458" s="282" t="s">
        <v>5103</v>
      </c>
    </row>
    <row r="459" spans="1:21" x14ac:dyDescent="0.3">
      <c r="A459" t="s">
        <v>38</v>
      </c>
      <c r="B459" s="36" t="s">
        <v>3346</v>
      </c>
      <c r="C459" s="2" t="s">
        <v>4971</v>
      </c>
      <c r="D459" s="2" t="s">
        <v>4981</v>
      </c>
      <c r="E459" s="19">
        <v>6001590525</v>
      </c>
      <c r="F459" s="2" t="s">
        <v>1318</v>
      </c>
      <c r="G459" s="2" t="s">
        <v>5090</v>
      </c>
      <c r="H459" s="2" t="s">
        <v>4997</v>
      </c>
      <c r="I459" s="2" t="s">
        <v>1318</v>
      </c>
      <c r="J459" s="7" t="s">
        <v>152</v>
      </c>
      <c r="K459" s="48">
        <v>40</v>
      </c>
      <c r="L459" s="2" t="s">
        <v>4976</v>
      </c>
      <c r="M459" s="5">
        <v>2</v>
      </c>
      <c r="N459" s="5">
        <v>20</v>
      </c>
      <c r="O459" s="2" t="s">
        <v>5026</v>
      </c>
      <c r="P459" s="2" t="s">
        <v>5081</v>
      </c>
      <c r="Q459" s="2" t="s">
        <v>5110</v>
      </c>
      <c r="R459" s="2" t="s">
        <v>28</v>
      </c>
      <c r="S459" s="2"/>
      <c r="T459" s="18" t="s">
        <v>38</v>
      </c>
      <c r="U459" s="282" t="s">
        <v>5112</v>
      </c>
    </row>
    <row r="460" spans="1:21" x14ac:dyDescent="0.3">
      <c r="A460" t="s">
        <v>38</v>
      </c>
      <c r="B460" s="27" t="s">
        <v>2565</v>
      </c>
      <c r="C460" s="2" t="s">
        <v>5154</v>
      </c>
      <c r="D460" s="2" t="s">
        <v>5100</v>
      </c>
      <c r="E460" s="2" t="s">
        <v>5156</v>
      </c>
      <c r="F460" s="2" t="s">
        <v>1296</v>
      </c>
      <c r="G460" s="2" t="s">
        <v>5155</v>
      </c>
      <c r="H460" s="2" t="s">
        <v>5147</v>
      </c>
      <c r="I460" s="2" t="s">
        <v>1296</v>
      </c>
      <c r="J460" s="2" t="s">
        <v>2167</v>
      </c>
      <c r="K460" s="48">
        <v>10</v>
      </c>
      <c r="L460" s="19">
        <v>131</v>
      </c>
      <c r="M460" s="5">
        <v>1</v>
      </c>
      <c r="N460" s="2"/>
      <c r="O460" s="2" t="s">
        <v>5141</v>
      </c>
      <c r="P460" s="2" t="s">
        <v>4994</v>
      </c>
      <c r="Q460" s="2"/>
      <c r="R460" s="2" t="s">
        <v>28</v>
      </c>
      <c r="S460" s="2"/>
      <c r="T460" s="74" t="s">
        <v>38</v>
      </c>
      <c r="U460" s="282" t="s">
        <v>4994</v>
      </c>
    </row>
    <row r="461" spans="1:21" ht="57.6" x14ac:dyDescent="0.3">
      <c r="A461" t="s">
        <v>60</v>
      </c>
      <c r="B461" s="261" t="s">
        <v>2402</v>
      </c>
      <c r="C461" s="252" t="s">
        <v>5135</v>
      </c>
      <c r="D461" s="252" t="s">
        <v>5136</v>
      </c>
      <c r="E461" s="252" t="s">
        <v>5137</v>
      </c>
      <c r="F461" s="252" t="s">
        <v>1296</v>
      </c>
      <c r="G461" s="252" t="s">
        <v>5146</v>
      </c>
      <c r="H461" s="252" t="s">
        <v>5147</v>
      </c>
      <c r="I461" s="252" t="s">
        <v>1340</v>
      </c>
      <c r="J461" s="252" t="s">
        <v>5148</v>
      </c>
      <c r="K461" s="283">
        <v>10</v>
      </c>
      <c r="L461" s="283">
        <v>4906000</v>
      </c>
      <c r="M461" s="252">
        <v>1</v>
      </c>
      <c r="N461" s="252"/>
      <c r="O461" s="252" t="s">
        <v>5141</v>
      </c>
      <c r="P461" s="252" t="s">
        <v>4994</v>
      </c>
      <c r="Q461" s="252"/>
      <c r="R461" s="252" t="s">
        <v>121</v>
      </c>
      <c r="S461" s="252" t="s">
        <v>4994</v>
      </c>
      <c r="T461" s="74" t="s">
        <v>38</v>
      </c>
      <c r="U461" s="282" t="s">
        <v>4994</v>
      </c>
    </row>
    <row r="462" spans="1:21" ht="57.6" x14ac:dyDescent="0.3">
      <c r="A462" t="s">
        <v>60</v>
      </c>
      <c r="B462" s="439" t="s">
        <v>1251</v>
      </c>
      <c r="C462" s="252" t="s">
        <v>4986</v>
      </c>
      <c r="D462" s="252"/>
      <c r="E462" s="2" t="s">
        <v>1253</v>
      </c>
      <c r="F462" s="252" t="s">
        <v>1254</v>
      </c>
      <c r="G462" t="s">
        <v>1255</v>
      </c>
      <c r="H462" s="252" t="s">
        <v>1256</v>
      </c>
      <c r="I462" s="252" t="s">
        <v>1254</v>
      </c>
      <c r="J462" s="252" t="s">
        <v>1257</v>
      </c>
      <c r="K462" s="283">
        <v>99.74</v>
      </c>
      <c r="L462" s="252" t="s">
        <v>1258</v>
      </c>
      <c r="M462" s="252">
        <v>4</v>
      </c>
      <c r="N462" s="252">
        <v>20</v>
      </c>
      <c r="O462" s="252" t="s">
        <v>5092</v>
      </c>
      <c r="P462" s="252" t="s">
        <v>5030</v>
      </c>
      <c r="Q462" s="252" t="s">
        <v>5101</v>
      </c>
      <c r="R462" s="252" t="s">
        <v>28</v>
      </c>
      <c r="S462" s="252" t="s">
        <v>5002</v>
      </c>
      <c r="T462" s="74" t="s">
        <v>5002</v>
      </c>
      <c r="U462" s="282" t="s">
        <v>5171</v>
      </c>
    </row>
    <row r="463" spans="1:21" ht="43.2" x14ac:dyDescent="0.3">
      <c r="A463" t="s">
        <v>287</v>
      </c>
      <c r="B463" s="261" t="s">
        <v>5149</v>
      </c>
      <c r="C463" s="252" t="s">
        <v>5150</v>
      </c>
      <c r="D463" s="252" t="s">
        <v>5085</v>
      </c>
      <c r="E463" s="252" t="s">
        <v>5151</v>
      </c>
      <c r="F463" s="252" t="s">
        <v>1296</v>
      </c>
      <c r="G463" s="252" t="s">
        <v>5152</v>
      </c>
      <c r="H463" s="252" t="s">
        <v>5113</v>
      </c>
      <c r="I463" s="252" t="s">
        <v>1296</v>
      </c>
      <c r="J463" s="252" t="s">
        <v>4786</v>
      </c>
      <c r="K463" s="283">
        <v>20</v>
      </c>
      <c r="L463" s="283">
        <v>3300000</v>
      </c>
      <c r="M463" s="252">
        <v>1</v>
      </c>
      <c r="N463" s="252"/>
      <c r="O463" s="252" t="s">
        <v>5153</v>
      </c>
      <c r="P463" s="252" t="s">
        <v>4994</v>
      </c>
      <c r="Q463" s="252"/>
      <c r="R463" s="252" t="s">
        <v>121</v>
      </c>
      <c r="S463" s="252" t="s">
        <v>4994</v>
      </c>
      <c r="T463" s="74" t="s">
        <v>287</v>
      </c>
      <c r="U463" s="282" t="s">
        <v>5171</v>
      </c>
    </row>
    <row r="464" spans="1:21" ht="57.6" x14ac:dyDescent="0.3">
      <c r="A464" t="s">
        <v>287</v>
      </c>
      <c r="B464" s="261" t="s">
        <v>5180</v>
      </c>
      <c r="C464" s="252" t="s">
        <v>5181</v>
      </c>
      <c r="D464" s="252" t="s">
        <v>5098</v>
      </c>
      <c r="E464" s="252" t="s">
        <v>5182</v>
      </c>
      <c r="F464" s="252" t="s">
        <v>1296</v>
      </c>
      <c r="G464" s="252" t="s">
        <v>5183</v>
      </c>
      <c r="H464" s="252" t="s">
        <v>5141</v>
      </c>
      <c r="I464" s="252" t="s">
        <v>1296</v>
      </c>
      <c r="J464" s="252" t="s">
        <v>78</v>
      </c>
      <c r="K464" s="283">
        <v>50</v>
      </c>
      <c r="L464" s="252" t="s">
        <v>5184</v>
      </c>
      <c r="M464" s="252">
        <v>2</v>
      </c>
      <c r="N464" s="252"/>
      <c r="O464" s="252" t="s">
        <v>5175</v>
      </c>
      <c r="P464" s="252" t="s">
        <v>5145</v>
      </c>
      <c r="Q464" s="252">
        <v>3</v>
      </c>
      <c r="R464" s="252" t="s">
        <v>121</v>
      </c>
      <c r="S464" s="252"/>
      <c r="T464" s="74" t="s">
        <v>287</v>
      </c>
      <c r="U464" s="282" t="s">
        <v>5107</v>
      </c>
    </row>
    <row r="465" spans="1:22" x14ac:dyDescent="0.3">
      <c r="A465" t="s">
        <v>38</v>
      </c>
      <c r="B465" s="27" t="s">
        <v>2427</v>
      </c>
      <c r="C465" s="2" t="s">
        <v>5020</v>
      </c>
      <c r="D465" s="2" t="s">
        <v>5021</v>
      </c>
      <c r="E465" s="2" t="s">
        <v>5022</v>
      </c>
      <c r="F465" s="2" t="s">
        <v>1462</v>
      </c>
      <c r="G465" s="19">
        <v>255657503</v>
      </c>
      <c r="H465" s="2" t="s">
        <v>5015</v>
      </c>
      <c r="I465" s="2" t="s">
        <v>1462</v>
      </c>
      <c r="J465" s="2" t="s">
        <v>137</v>
      </c>
      <c r="K465" s="5">
        <v>316.10000000000002</v>
      </c>
      <c r="L465" s="2" t="s">
        <v>5023</v>
      </c>
      <c r="M465" s="5">
        <v>16</v>
      </c>
      <c r="N465" s="5">
        <v>20</v>
      </c>
      <c r="O465" s="2" t="s">
        <v>5095</v>
      </c>
      <c r="P465" s="2" t="s">
        <v>4994</v>
      </c>
      <c r="Q465" s="2" t="s">
        <v>5114</v>
      </c>
      <c r="R465" s="2" t="s">
        <v>28</v>
      </c>
      <c r="S465" s="2" t="s">
        <v>38</v>
      </c>
      <c r="T465" s="18" t="s">
        <v>1428</v>
      </c>
      <c r="U465" s="18" t="s">
        <v>5108</v>
      </c>
    </row>
    <row r="466" spans="1:22" x14ac:dyDescent="0.3">
      <c r="A466" t="s">
        <v>287</v>
      </c>
      <c r="B466" s="439" t="s">
        <v>3215</v>
      </c>
      <c r="C466" t="s">
        <v>5138</v>
      </c>
      <c r="D466" t="s">
        <v>5139</v>
      </c>
      <c r="E466">
        <v>42633464</v>
      </c>
      <c r="F466" t="s">
        <v>1296</v>
      </c>
      <c r="G466" t="s">
        <v>5140</v>
      </c>
      <c r="H466" t="s">
        <v>5141</v>
      </c>
      <c r="I466" t="s">
        <v>5142</v>
      </c>
      <c r="J466" t="s">
        <v>5143</v>
      </c>
      <c r="K466">
        <v>30</v>
      </c>
      <c r="L466" t="s">
        <v>5144</v>
      </c>
      <c r="M466">
        <v>1</v>
      </c>
      <c r="P466" t="s">
        <v>5145</v>
      </c>
      <c r="R466" t="s">
        <v>212</v>
      </c>
      <c r="T466" s="74" t="s">
        <v>287</v>
      </c>
      <c r="U466" s="282" t="s">
        <v>5108</v>
      </c>
    </row>
    <row r="467" spans="1:22" ht="43.2" x14ac:dyDescent="0.3">
      <c r="A467" s="252" t="s">
        <v>55</v>
      </c>
      <c r="B467" s="252" t="s">
        <v>3086</v>
      </c>
      <c r="C467" s="252" t="s">
        <v>5188</v>
      </c>
      <c r="D467" s="252" t="s">
        <v>5110</v>
      </c>
      <c r="E467" s="252" t="s">
        <v>5189</v>
      </c>
      <c r="F467" s="252" t="s">
        <v>1296</v>
      </c>
      <c r="G467" s="252" t="s">
        <v>3315</v>
      </c>
      <c r="H467" s="252" t="s">
        <v>5177</v>
      </c>
      <c r="I467" s="252" t="s">
        <v>1296</v>
      </c>
      <c r="J467" s="252" t="s">
        <v>5190</v>
      </c>
      <c r="K467" s="252">
        <v>1295.05</v>
      </c>
      <c r="L467" s="252" t="s">
        <v>5191</v>
      </c>
      <c r="M467" s="252"/>
      <c r="N467" s="252"/>
      <c r="O467" s="252" t="s">
        <v>5158</v>
      </c>
      <c r="P467" s="252" t="s">
        <v>5192</v>
      </c>
      <c r="Q467" s="252"/>
      <c r="R467" s="252" t="s">
        <v>5193</v>
      </c>
      <c r="S467" s="252"/>
      <c r="T467" s="74" t="s">
        <v>55</v>
      </c>
    </row>
    <row r="468" spans="1:22" ht="57.6" x14ac:dyDescent="0.3">
      <c r="A468" t="s">
        <v>38</v>
      </c>
      <c r="B468" s="369" t="s">
        <v>3038</v>
      </c>
      <c r="C468" s="21" t="s">
        <v>4970</v>
      </c>
      <c r="D468" s="2" t="s">
        <v>1239</v>
      </c>
      <c r="E468" s="6">
        <v>12062025</v>
      </c>
      <c r="F468" s="2" t="s">
        <v>3040</v>
      </c>
      <c r="G468" s="2" t="s">
        <v>4996</v>
      </c>
      <c r="H468" s="2" t="s">
        <v>4982</v>
      </c>
      <c r="I468" s="2" t="s">
        <v>4998</v>
      </c>
      <c r="J468" s="266" t="s">
        <v>4973</v>
      </c>
      <c r="K468" s="518" t="s">
        <v>4974</v>
      </c>
      <c r="L468" s="266" t="s">
        <v>4975</v>
      </c>
      <c r="M468" s="5">
        <v>1</v>
      </c>
      <c r="N468" s="5">
        <v>40</v>
      </c>
      <c r="O468" s="2" t="s">
        <v>4994</v>
      </c>
      <c r="P468" s="2" t="s">
        <v>5179</v>
      </c>
      <c r="Q468" s="2" t="s">
        <v>5134</v>
      </c>
      <c r="R468" s="2" t="s">
        <v>28</v>
      </c>
      <c r="S468" s="2"/>
      <c r="T468" s="18" t="s">
        <v>38</v>
      </c>
      <c r="U468" s="18" t="s">
        <v>5186</v>
      </c>
    </row>
    <row r="469" spans="1:22" x14ac:dyDescent="0.3">
      <c r="A469" t="s">
        <v>38</v>
      </c>
      <c r="B469" s="27" t="s">
        <v>2312</v>
      </c>
      <c r="C469" s="2" t="s">
        <v>5194</v>
      </c>
      <c r="D469" s="2" t="s">
        <v>5030</v>
      </c>
      <c r="E469" s="493" t="s">
        <v>5195</v>
      </c>
      <c r="F469" s="2" t="s">
        <v>1296</v>
      </c>
      <c r="G469" s="527" t="s">
        <v>5196</v>
      </c>
      <c r="H469" s="2" t="s">
        <v>5197</v>
      </c>
      <c r="I469" s="2" t="s">
        <v>1296</v>
      </c>
      <c r="J469" s="2" t="s">
        <v>1408</v>
      </c>
      <c r="K469" s="48">
        <v>8</v>
      </c>
      <c r="L469" s="2" t="s">
        <v>5198</v>
      </c>
      <c r="M469" s="5">
        <v>1</v>
      </c>
      <c r="N469" s="2"/>
      <c r="O469" s="2" t="s">
        <v>5199</v>
      </c>
      <c r="P469" s="2" t="s">
        <v>5202</v>
      </c>
      <c r="Q469" s="2" t="s">
        <v>5186</v>
      </c>
      <c r="R469" s="2" t="s">
        <v>212</v>
      </c>
      <c r="S469" s="2"/>
      <c r="T469" s="74" t="s">
        <v>38</v>
      </c>
      <c r="U469" s="74" t="s">
        <v>5186</v>
      </c>
    </row>
    <row r="470" spans="1:22" ht="57.6" x14ac:dyDescent="0.3">
      <c r="A470" t="s">
        <v>529</v>
      </c>
      <c r="B470" s="27" t="s">
        <v>1251</v>
      </c>
      <c r="C470" s="252" t="s">
        <v>4986</v>
      </c>
      <c r="D470" s="252"/>
      <c r="E470" s="2" t="s">
        <v>1253</v>
      </c>
      <c r="F470" s="252" t="s">
        <v>1254</v>
      </c>
      <c r="G470" s="2" t="s">
        <v>1281</v>
      </c>
      <c r="H470" s="252" t="s">
        <v>1277</v>
      </c>
      <c r="I470" s="252" t="s">
        <v>1254</v>
      </c>
      <c r="J470" s="252" t="s">
        <v>1257</v>
      </c>
      <c r="K470" s="283">
        <v>99.78</v>
      </c>
      <c r="L470" s="252" t="s">
        <v>1258</v>
      </c>
      <c r="M470" s="252">
        <v>4</v>
      </c>
      <c r="N470" s="252">
        <v>20</v>
      </c>
      <c r="O470" s="252" t="s">
        <v>5176</v>
      </c>
      <c r="P470" s="252" t="s">
        <v>4994</v>
      </c>
      <c r="Q470" s="252" t="s">
        <v>5177</v>
      </c>
      <c r="R470" s="252" t="s">
        <v>28</v>
      </c>
      <c r="S470" s="252" t="s">
        <v>5002</v>
      </c>
      <c r="T470" s="252" t="s">
        <v>5002</v>
      </c>
      <c r="U470" s="328" t="s">
        <v>5234</v>
      </c>
    </row>
    <row r="471" spans="1:22" ht="43.2" x14ac:dyDescent="0.3">
      <c r="A471" t="s">
        <v>55</v>
      </c>
      <c r="B471" s="36" t="s">
        <v>130</v>
      </c>
      <c r="C471" s="6" t="s">
        <v>5034</v>
      </c>
      <c r="D471" s="2" t="s">
        <v>5057</v>
      </c>
      <c r="E471" s="6">
        <v>127934</v>
      </c>
      <c r="F471" s="2" t="s">
        <v>1904</v>
      </c>
      <c r="G471" s="21" t="s">
        <v>5035</v>
      </c>
      <c r="H471" s="2" t="s">
        <v>5005</v>
      </c>
      <c r="I471" s="2" t="s">
        <v>1904</v>
      </c>
      <c r="J471" s="20" t="s">
        <v>3017</v>
      </c>
      <c r="K471" s="48">
        <v>500.47699999999998</v>
      </c>
      <c r="L471" s="447" t="s">
        <v>5049</v>
      </c>
      <c r="M471" s="5">
        <v>20</v>
      </c>
      <c r="N471" s="5">
        <v>20</v>
      </c>
      <c r="O471" s="2" t="s">
        <v>5108</v>
      </c>
      <c r="P471" s="2" t="s">
        <v>5206</v>
      </c>
      <c r="Q471" s="2" t="s">
        <v>5207</v>
      </c>
      <c r="R471" s="2" t="s">
        <v>28</v>
      </c>
      <c r="S471" s="2" t="s">
        <v>5092</v>
      </c>
      <c r="T471" s="512" t="s">
        <v>5232</v>
      </c>
      <c r="U471" s="343" t="s">
        <v>5233</v>
      </c>
    </row>
    <row r="472" spans="1:22" x14ac:dyDescent="0.3">
      <c r="A472" t="s">
        <v>38</v>
      </c>
      <c r="B472" s="27" t="s">
        <v>2543</v>
      </c>
      <c r="C472" s="2" t="s">
        <v>5230</v>
      </c>
      <c r="D472" s="2"/>
      <c r="E472" s="2" t="s">
        <v>5227</v>
      </c>
      <c r="F472" s="2" t="s">
        <v>1296</v>
      </c>
      <c r="G472" s="2" t="s">
        <v>5228</v>
      </c>
      <c r="H472" s="2" t="s">
        <v>5229</v>
      </c>
      <c r="I472" s="2" t="s">
        <v>1296</v>
      </c>
      <c r="J472" s="2" t="s">
        <v>205</v>
      </c>
      <c r="K472" s="5">
        <v>30</v>
      </c>
      <c r="L472" s="2">
        <v>1740000</v>
      </c>
      <c r="M472" s="5">
        <v>1</v>
      </c>
      <c r="N472" s="2"/>
      <c r="O472" s="2" t="s">
        <v>5246</v>
      </c>
      <c r="P472" s="2" t="s">
        <v>5187</v>
      </c>
      <c r="Q472" s="2"/>
      <c r="R472" s="2" t="s">
        <v>28</v>
      </c>
      <c r="S472" s="2"/>
      <c r="T472" s="2" t="s">
        <v>38</v>
      </c>
      <c r="U472" s="18" t="s">
        <v>5231</v>
      </c>
    </row>
    <row r="473" spans="1:22" ht="43.2" x14ac:dyDescent="0.3">
      <c r="A473" t="s">
        <v>287</v>
      </c>
      <c r="B473" s="261" t="s">
        <v>16</v>
      </c>
      <c r="C473" s="252" t="s">
        <v>5172</v>
      </c>
      <c r="D473" s="252" t="s">
        <v>5112</v>
      </c>
      <c r="E473" s="252" t="s">
        <v>5173</v>
      </c>
      <c r="F473" s="252" t="s">
        <v>20</v>
      </c>
      <c r="G473" s="252" t="s">
        <v>5174</v>
      </c>
      <c r="H473" s="252" t="s">
        <v>5095</v>
      </c>
      <c r="I473" s="252" t="s">
        <v>20</v>
      </c>
      <c r="J473" s="252" t="s">
        <v>24</v>
      </c>
      <c r="K473" s="283">
        <v>110.97</v>
      </c>
      <c r="L473" s="251">
        <v>890</v>
      </c>
      <c r="M473" s="252">
        <v>6</v>
      </c>
      <c r="N473" s="252">
        <v>20</v>
      </c>
      <c r="O473" s="252" t="s">
        <v>5202</v>
      </c>
      <c r="P473" s="252" t="s">
        <v>5234</v>
      </c>
      <c r="Q473" s="252" t="s">
        <v>5204</v>
      </c>
      <c r="R473" s="252" t="s">
        <v>28</v>
      </c>
      <c r="S473" s="252"/>
      <c r="T473" s="282" t="s">
        <v>287</v>
      </c>
      <c r="U473" s="282" t="s">
        <v>5207</v>
      </c>
    </row>
    <row r="474" spans="1:22" ht="57.6" x14ac:dyDescent="0.3">
      <c r="A474" t="s">
        <v>5277</v>
      </c>
      <c r="B474" s="261" t="s">
        <v>4995</v>
      </c>
      <c r="C474" s="2" t="s">
        <v>5102</v>
      </c>
      <c r="D474" s="252" t="s">
        <v>27</v>
      </c>
      <c r="E474" s="252"/>
      <c r="F474" s="252" t="s">
        <v>4577</v>
      </c>
      <c r="G474" s="2" t="s">
        <v>5091</v>
      </c>
      <c r="H474" s="252" t="s">
        <v>4983</v>
      </c>
      <c r="I474" s="252" t="s">
        <v>4577</v>
      </c>
      <c r="J474" s="252" t="s">
        <v>4992</v>
      </c>
      <c r="K474" s="283">
        <v>127.5</v>
      </c>
      <c r="L474" s="252" t="s">
        <v>4993</v>
      </c>
      <c r="M474" s="252">
        <v>5</v>
      </c>
      <c r="N474" s="252">
        <v>20</v>
      </c>
      <c r="O474" s="252" t="s">
        <v>5179</v>
      </c>
      <c r="P474" s="252" t="s">
        <v>5159</v>
      </c>
      <c r="Q474" s="252" t="s">
        <v>5185</v>
      </c>
      <c r="R474" s="252" t="s">
        <v>28</v>
      </c>
      <c r="S474" s="2" t="s">
        <v>5091</v>
      </c>
      <c r="T474" s="253" t="s">
        <v>2772</v>
      </c>
      <c r="U474" s="282" t="s">
        <v>5204</v>
      </c>
      <c r="V474" s="282"/>
    </row>
    <row r="475" spans="1:22" ht="86.4" x14ac:dyDescent="0.3">
      <c r="A475" t="s">
        <v>38</v>
      </c>
      <c r="B475" s="27" t="s">
        <v>5016</v>
      </c>
      <c r="C475" s="6" t="s">
        <v>5028</v>
      </c>
      <c r="D475" s="2" t="s">
        <v>5027</v>
      </c>
      <c r="E475" s="2" t="s">
        <v>5017</v>
      </c>
      <c r="F475" s="2" t="s">
        <v>2222</v>
      </c>
      <c r="G475" s="19">
        <v>257354584</v>
      </c>
      <c r="H475" s="2" t="s">
        <v>5061</v>
      </c>
      <c r="I475" s="2" t="s">
        <v>2222</v>
      </c>
      <c r="J475" s="2" t="s">
        <v>977</v>
      </c>
      <c r="K475" s="5">
        <v>400.2</v>
      </c>
      <c r="L475" s="2" t="s">
        <v>5019</v>
      </c>
      <c r="M475" s="5">
        <v>14</v>
      </c>
      <c r="N475" s="5">
        <v>40</v>
      </c>
      <c r="O475" s="2" t="s">
        <v>5203</v>
      </c>
      <c r="P475" s="2" t="s">
        <v>5082</v>
      </c>
      <c r="Q475" s="2" t="s">
        <v>5248</v>
      </c>
      <c r="R475" s="2" t="s">
        <v>28</v>
      </c>
      <c r="S475" s="2" t="s">
        <v>5099</v>
      </c>
      <c r="T475" s="411" t="s">
        <v>5291</v>
      </c>
      <c r="U475" s="315" t="s">
        <v>5292</v>
      </c>
    </row>
    <row r="476" spans="1:22" ht="72" x14ac:dyDescent="0.3">
      <c r="A476" t="s">
        <v>55</v>
      </c>
      <c r="B476" s="27" t="s">
        <v>5253</v>
      </c>
      <c r="C476" s="2" t="s">
        <v>5254</v>
      </c>
      <c r="D476" s="2" t="s">
        <v>5255</v>
      </c>
      <c r="E476" s="2" t="s">
        <v>5256</v>
      </c>
      <c r="F476" s="2" t="s">
        <v>1296</v>
      </c>
      <c r="G476" s="2" t="s">
        <v>5257</v>
      </c>
      <c r="H476" s="2" t="s">
        <v>5199</v>
      </c>
      <c r="I476" s="2" t="s">
        <v>1296</v>
      </c>
      <c r="J476" s="266" t="s">
        <v>5258</v>
      </c>
      <c r="K476" s="5">
        <v>5</v>
      </c>
      <c r="L476" s="2">
        <v>1847500</v>
      </c>
      <c r="M476" s="2"/>
      <c r="N476" s="2"/>
      <c r="O476" s="2" t="s">
        <v>5280</v>
      </c>
      <c r="P476" s="2" t="s">
        <v>5268</v>
      </c>
      <c r="Q476" s="2"/>
      <c r="R476" s="2" t="s">
        <v>121</v>
      </c>
      <c r="S476" s="2"/>
      <c r="T476" s="2"/>
      <c r="U476" t="s">
        <v>55</v>
      </c>
      <c r="V476" t="s">
        <v>5278</v>
      </c>
    </row>
    <row r="477" spans="1:22" x14ac:dyDescent="0.3">
      <c r="A477" t="s">
        <v>55</v>
      </c>
      <c r="B477" s="27" t="s">
        <v>2372</v>
      </c>
      <c r="C477" s="2" t="s">
        <v>5259</v>
      </c>
      <c r="D477" s="2" t="s">
        <v>5206</v>
      </c>
      <c r="E477" s="2" t="s">
        <v>5260</v>
      </c>
      <c r="F477" s="2" t="s">
        <v>1296</v>
      </c>
      <c r="G477" s="2" t="s">
        <v>5261</v>
      </c>
      <c r="H477" s="2" t="s">
        <v>5186</v>
      </c>
      <c r="I477" s="2" t="s">
        <v>1296</v>
      </c>
      <c r="J477" s="2" t="s">
        <v>5262</v>
      </c>
      <c r="K477" s="5">
        <v>6</v>
      </c>
      <c r="L477" s="2">
        <v>1760000</v>
      </c>
      <c r="M477" s="2"/>
      <c r="N477" s="2"/>
      <c r="O477" s="2" t="s">
        <v>5280</v>
      </c>
      <c r="P477" s="2" t="s">
        <v>5268</v>
      </c>
      <c r="Q477" s="2"/>
      <c r="R477" s="2" t="s">
        <v>121</v>
      </c>
      <c r="S477" s="2"/>
      <c r="T477" s="2"/>
      <c r="U477" t="s">
        <v>55</v>
      </c>
      <c r="V477" t="s">
        <v>5278</v>
      </c>
    </row>
    <row r="478" spans="1:22" ht="43.2" x14ac:dyDescent="0.3">
      <c r="A478" t="s">
        <v>60</v>
      </c>
      <c r="B478" s="261" t="s">
        <v>2427</v>
      </c>
      <c r="C478" s="2" t="s">
        <v>5104</v>
      </c>
      <c r="D478" s="252" t="s">
        <v>5098</v>
      </c>
      <c r="E478" s="252" t="s">
        <v>5105</v>
      </c>
      <c r="F478" s="252" t="s">
        <v>1462</v>
      </c>
      <c r="G478" s="19">
        <v>257805297</v>
      </c>
      <c r="H478" s="252" t="s">
        <v>5097</v>
      </c>
      <c r="I478" s="252" t="s">
        <v>1462</v>
      </c>
      <c r="J478" s="252" t="s">
        <v>3181</v>
      </c>
      <c r="K478" s="283">
        <v>124.1</v>
      </c>
      <c r="L478" s="252" t="s">
        <v>5106</v>
      </c>
      <c r="M478" s="252">
        <v>5</v>
      </c>
      <c r="N478" s="252">
        <v>20</v>
      </c>
      <c r="O478" s="252" t="s">
        <v>5107</v>
      </c>
      <c r="P478" s="252" t="s">
        <v>5268</v>
      </c>
      <c r="Q478" s="252" t="s">
        <v>5281</v>
      </c>
      <c r="R478" s="252" t="s">
        <v>5178</v>
      </c>
      <c r="S478" s="252" t="s">
        <v>5109</v>
      </c>
      <c r="T478" s="252" t="s">
        <v>5224</v>
      </c>
      <c r="U478" s="388" t="s">
        <v>38</v>
      </c>
      <c r="V478" s="282" t="s">
        <v>5185</v>
      </c>
    </row>
    <row r="479" spans="1:22" ht="43.2" x14ac:dyDescent="0.3">
      <c r="A479" t="s">
        <v>60</v>
      </c>
      <c r="B479" s="261" t="s">
        <v>3126</v>
      </c>
      <c r="C479" s="252" t="s">
        <v>5161</v>
      </c>
      <c r="D479" s="252"/>
      <c r="E479" s="2" t="s">
        <v>5125</v>
      </c>
      <c r="F479" s="252" t="s">
        <v>1232</v>
      </c>
      <c r="G479" s="252" t="s">
        <v>5157</v>
      </c>
      <c r="H479" s="252" t="s">
        <v>5136</v>
      </c>
      <c r="I479" s="252" t="s">
        <v>1232</v>
      </c>
      <c r="J479" s="252" t="s">
        <v>2149</v>
      </c>
      <c r="K479" s="283">
        <v>27</v>
      </c>
      <c r="L479" s="252" t="s">
        <v>5122</v>
      </c>
      <c r="M479" s="252">
        <v>1</v>
      </c>
      <c r="N479" s="252">
        <v>40</v>
      </c>
      <c r="O479" s="252" t="s">
        <v>5158</v>
      </c>
      <c r="P479" s="252" t="s">
        <v>5279</v>
      </c>
      <c r="Q479" s="252" t="s">
        <v>5243</v>
      </c>
      <c r="R479" s="252" t="s">
        <v>28</v>
      </c>
      <c r="S479" s="252"/>
      <c r="T479" s="252"/>
      <c r="U479" s="529" t="s">
        <v>2772</v>
      </c>
      <c r="V479" s="282" t="s">
        <v>5185</v>
      </c>
    </row>
    <row r="480" spans="1:22" ht="72" x14ac:dyDescent="0.3">
      <c r="A480" t="s">
        <v>529</v>
      </c>
      <c r="B480" s="261" t="s">
        <v>2427</v>
      </c>
      <c r="C480" s="252" t="s">
        <v>4986</v>
      </c>
      <c r="D480" s="252"/>
      <c r="E480" s="252" t="s">
        <v>5163</v>
      </c>
      <c r="F480" s="252" t="s">
        <v>1462</v>
      </c>
      <c r="G480" s="251">
        <v>260189951</v>
      </c>
      <c r="H480" s="252" t="s">
        <v>5145</v>
      </c>
      <c r="I480" s="252" t="s">
        <v>1462</v>
      </c>
      <c r="J480" s="252" t="s">
        <v>5164</v>
      </c>
      <c r="K480" s="283">
        <v>125.04</v>
      </c>
      <c r="L480" s="252" t="s">
        <v>5165</v>
      </c>
      <c r="M480" s="252">
        <v>5</v>
      </c>
      <c r="N480" s="252">
        <v>20</v>
      </c>
      <c r="O480" s="252" t="s">
        <v>5159</v>
      </c>
      <c r="P480" s="252" t="s">
        <v>5280</v>
      </c>
      <c r="Q480" s="252" t="s">
        <v>5308</v>
      </c>
      <c r="R480" s="252" t="s">
        <v>5290</v>
      </c>
      <c r="S480" s="252" t="s">
        <v>5263</v>
      </c>
      <c r="T480" s="252" t="s">
        <v>5216</v>
      </c>
      <c r="U480" s="282" t="s">
        <v>5313</v>
      </c>
      <c r="V480" s="282" t="s">
        <v>5314</v>
      </c>
    </row>
    <row r="481" spans="1:22" x14ac:dyDescent="0.3">
      <c r="A481" t="s">
        <v>60</v>
      </c>
      <c r="B481" s="219" t="s">
        <v>5298</v>
      </c>
      <c r="C481" s="323" t="s">
        <v>5300</v>
      </c>
      <c r="D481" s="252" t="s">
        <v>5231</v>
      </c>
      <c r="E481" s="2" t="s">
        <v>5299</v>
      </c>
      <c r="F481" s="252" t="s">
        <v>1296</v>
      </c>
      <c r="G481" s="252"/>
      <c r="H481" s="252"/>
      <c r="I481" s="252"/>
      <c r="J481" s="25" t="s">
        <v>84</v>
      </c>
      <c r="K481" s="48">
        <v>21.61</v>
      </c>
      <c r="L481" s="6">
        <v>110000</v>
      </c>
      <c r="M481" s="252">
        <v>1</v>
      </c>
      <c r="N481" s="252"/>
      <c r="O481" s="252" t="s">
        <v>5301</v>
      </c>
      <c r="P481" s="252" t="s">
        <v>5302</v>
      </c>
      <c r="Q481" s="252"/>
      <c r="R481" s="252" t="s">
        <v>28</v>
      </c>
      <c r="S481" s="252" t="s">
        <v>287</v>
      </c>
      <c r="T481" s="252"/>
      <c r="U481" s="328" t="s">
        <v>2772</v>
      </c>
      <c r="V481" s="282" t="s">
        <v>5205</v>
      </c>
    </row>
    <row r="482" spans="1:22" x14ac:dyDescent="0.3">
      <c r="A482" t="s">
        <v>55</v>
      </c>
      <c r="B482" s="2" t="s">
        <v>5293</v>
      </c>
      <c r="C482" s="2" t="s">
        <v>5294</v>
      </c>
      <c r="D482" s="2" t="s">
        <v>5250</v>
      </c>
      <c r="E482" s="2" t="s">
        <v>5295</v>
      </c>
      <c r="F482" s="2" t="s">
        <v>1296</v>
      </c>
      <c r="G482" s="2" t="s">
        <v>5296</v>
      </c>
      <c r="H482" s="2" t="s">
        <v>5268</v>
      </c>
      <c r="I482" s="2" t="s">
        <v>1340</v>
      </c>
      <c r="J482" s="20" t="s">
        <v>3209</v>
      </c>
      <c r="K482" s="5">
        <v>5000</v>
      </c>
      <c r="L482" s="2">
        <v>325</v>
      </c>
      <c r="M482" s="5">
        <v>1</v>
      </c>
      <c r="N482" s="2"/>
      <c r="O482" s="2" t="s">
        <v>5297</v>
      </c>
      <c r="P482" s="2" t="s">
        <v>5248</v>
      </c>
      <c r="Q482" s="2"/>
      <c r="R482" s="2" t="s">
        <v>121</v>
      </c>
      <c r="S482" s="2" t="s">
        <v>55</v>
      </c>
      <c r="U482" t="s">
        <v>55</v>
      </c>
      <c r="V482" s="282" t="s">
        <v>5323</v>
      </c>
    </row>
    <row r="483" spans="1:22" x14ac:dyDescent="0.3">
      <c r="A483" t="s">
        <v>38</v>
      </c>
      <c r="B483" s="27" t="s">
        <v>5120</v>
      </c>
      <c r="C483" s="2" t="s">
        <v>5162</v>
      </c>
      <c r="D483" s="2"/>
      <c r="E483" s="473" t="s">
        <v>2872</v>
      </c>
      <c r="F483" s="2" t="s">
        <v>1232</v>
      </c>
      <c r="G483" s="2" t="s">
        <v>5160</v>
      </c>
      <c r="H483" s="2" t="s">
        <v>5136</v>
      </c>
      <c r="I483" s="2" t="s">
        <v>1232</v>
      </c>
      <c r="J483" s="2" t="s">
        <v>5121</v>
      </c>
      <c r="K483" s="5">
        <v>27</v>
      </c>
      <c r="L483" s="2" t="s">
        <v>5122</v>
      </c>
      <c r="M483" s="5">
        <v>1</v>
      </c>
      <c r="N483" s="5">
        <v>40</v>
      </c>
      <c r="O483" s="2" t="s">
        <v>5158</v>
      </c>
      <c r="P483" s="2" t="s">
        <v>5279</v>
      </c>
      <c r="Q483" s="2" t="s">
        <v>5243</v>
      </c>
      <c r="R483" s="2" t="s">
        <v>121</v>
      </c>
      <c r="S483" s="2" t="s">
        <v>5231</v>
      </c>
      <c r="T483" s="2"/>
      <c r="U483" s="529" t="s">
        <v>38</v>
      </c>
      <c r="V483" s="282" t="s">
        <v>5272</v>
      </c>
    </row>
    <row r="484" spans="1:22" x14ac:dyDescent="0.3">
      <c r="A484" t="s">
        <v>38</v>
      </c>
      <c r="B484" s="27" t="s">
        <v>5120</v>
      </c>
      <c r="C484" s="2" t="s">
        <v>5162</v>
      </c>
      <c r="D484" s="2"/>
      <c r="E484" s="473" t="s">
        <v>2872</v>
      </c>
      <c r="F484" s="2" t="s">
        <v>1232</v>
      </c>
      <c r="G484" s="2" t="s">
        <v>5160</v>
      </c>
      <c r="H484" s="2" t="s">
        <v>5136</v>
      </c>
      <c r="I484" s="2" t="s">
        <v>1232</v>
      </c>
      <c r="J484" s="2" t="s">
        <v>5123</v>
      </c>
      <c r="K484" s="5">
        <v>27</v>
      </c>
      <c r="L484" s="2" t="s">
        <v>5124</v>
      </c>
      <c r="M484" s="5">
        <v>1</v>
      </c>
      <c r="N484" s="5">
        <v>40</v>
      </c>
      <c r="O484" s="2" t="s">
        <v>5158</v>
      </c>
      <c r="P484" s="2" t="s">
        <v>5279</v>
      </c>
      <c r="Q484" s="2" t="s">
        <v>5243</v>
      </c>
      <c r="R484" s="2" t="s">
        <v>121</v>
      </c>
      <c r="S484" s="2" t="s">
        <v>5231</v>
      </c>
      <c r="T484" s="2"/>
      <c r="U484" s="529" t="s">
        <v>38</v>
      </c>
      <c r="V484" s="282" t="s">
        <v>5272</v>
      </c>
    </row>
    <row r="485" spans="1:22" ht="28.8" x14ac:dyDescent="0.3">
      <c r="A485" t="s">
        <v>38</v>
      </c>
      <c r="B485" s="473" t="s">
        <v>157</v>
      </c>
      <c r="C485" s="6" t="s">
        <v>5031</v>
      </c>
      <c r="D485" s="2" t="s">
        <v>5010</v>
      </c>
      <c r="E485" s="6">
        <v>25062501</v>
      </c>
      <c r="F485" s="2" t="s">
        <v>2222</v>
      </c>
      <c r="G485" s="21" t="s">
        <v>5033</v>
      </c>
      <c r="H485" s="2" t="s">
        <v>5007</v>
      </c>
      <c r="I485" s="2" t="s">
        <v>5056</v>
      </c>
      <c r="J485" s="20" t="s">
        <v>5055</v>
      </c>
      <c r="K485" s="48">
        <v>111.71599999999999</v>
      </c>
      <c r="L485" s="6" t="s">
        <v>5048</v>
      </c>
      <c r="M485" s="5">
        <v>4</v>
      </c>
      <c r="N485" s="5">
        <v>40</v>
      </c>
      <c r="O485" s="2" t="s">
        <v>5247</v>
      </c>
      <c r="P485" s="2" t="s">
        <v>5248</v>
      </c>
      <c r="Q485" s="2" t="s">
        <v>5318</v>
      </c>
      <c r="R485" s="2" t="s">
        <v>5321</v>
      </c>
      <c r="S485" s="2" t="s">
        <v>38</v>
      </c>
      <c r="T485" s="411" t="s">
        <v>5235</v>
      </c>
      <c r="U485" s="18" t="s">
        <v>2772</v>
      </c>
      <c r="V485" s="18" t="s">
        <v>5249</v>
      </c>
    </row>
    <row r="486" spans="1:22" ht="43.2" x14ac:dyDescent="0.3">
      <c r="A486" t="s">
        <v>38</v>
      </c>
      <c r="B486" s="473" t="s">
        <v>157</v>
      </c>
      <c r="C486" s="6" t="s">
        <v>5031</v>
      </c>
      <c r="D486" s="2" t="s">
        <v>5010</v>
      </c>
      <c r="E486" s="6">
        <v>25062501</v>
      </c>
      <c r="F486" s="2" t="s">
        <v>2222</v>
      </c>
      <c r="G486" s="21" t="s">
        <v>5032</v>
      </c>
      <c r="H486" s="2" t="s">
        <v>5025</v>
      </c>
      <c r="I486" s="2" t="s">
        <v>5056</v>
      </c>
      <c r="J486" s="20" t="s">
        <v>5055</v>
      </c>
      <c r="K486" s="48">
        <v>132.245</v>
      </c>
      <c r="L486" s="6" t="s">
        <v>5048</v>
      </c>
      <c r="M486" s="5">
        <v>5</v>
      </c>
      <c r="N486" s="5">
        <v>40</v>
      </c>
      <c r="O486" s="2" t="s">
        <v>5247</v>
      </c>
      <c r="P486" s="2" t="s">
        <v>5205</v>
      </c>
      <c r="Q486" s="2" t="s">
        <v>5320</v>
      </c>
      <c r="R486" s="2" t="s">
        <v>121</v>
      </c>
      <c r="S486" s="266" t="s">
        <v>5289</v>
      </c>
      <c r="T486" s="411" t="s">
        <v>5236</v>
      </c>
      <c r="U486" s="18" t="s">
        <v>2772</v>
      </c>
      <c r="V486" s="18" t="s">
        <v>5351</v>
      </c>
    </row>
    <row r="487" spans="1:22" ht="57.6" x14ac:dyDescent="0.3">
      <c r="A487" t="s">
        <v>38</v>
      </c>
      <c r="B487" s="261" t="s">
        <v>5166</v>
      </c>
      <c r="C487" s="252" t="s">
        <v>3199</v>
      </c>
      <c r="D487" s="252"/>
      <c r="E487" s="252" t="s">
        <v>5167</v>
      </c>
      <c r="F487" s="252" t="s">
        <v>1462</v>
      </c>
      <c r="G487" s="252" t="s">
        <v>5168</v>
      </c>
      <c r="H487" s="252" t="s">
        <v>5029</v>
      </c>
      <c r="I487" s="252" t="s">
        <v>1462</v>
      </c>
      <c r="J487" s="252" t="s">
        <v>5169</v>
      </c>
      <c r="K487" s="283">
        <v>123.6</v>
      </c>
      <c r="L487" s="252" t="s">
        <v>5170</v>
      </c>
      <c r="M487" s="252">
        <v>5</v>
      </c>
      <c r="N487" s="252">
        <v>20</v>
      </c>
      <c r="O487" s="252" t="s">
        <v>5211</v>
      </c>
      <c r="P487" s="252" t="s">
        <v>5320</v>
      </c>
      <c r="Q487" s="252" t="s">
        <v>5360</v>
      </c>
      <c r="R487" s="252" t="s">
        <v>5312</v>
      </c>
      <c r="S487" s="252" t="s">
        <v>60</v>
      </c>
      <c r="T487" s="266" t="s">
        <v>5336</v>
      </c>
      <c r="U487" s="282" t="s">
        <v>2772</v>
      </c>
      <c r="V487" s="282" t="s">
        <v>5367</v>
      </c>
    </row>
    <row r="488" spans="1:22" ht="57.6" x14ac:dyDescent="0.3">
      <c r="A488" t="s">
        <v>38</v>
      </c>
      <c r="B488" s="27" t="s">
        <v>5115</v>
      </c>
      <c r="C488" s="6" t="s">
        <v>5116</v>
      </c>
      <c r="D488" s="2" t="s">
        <v>5014</v>
      </c>
      <c r="E488" s="2" t="s">
        <v>5117</v>
      </c>
      <c r="F488" s="2" t="s">
        <v>1462</v>
      </c>
      <c r="G488" s="6" t="s">
        <v>5118</v>
      </c>
      <c r="H488" s="2" t="s">
        <v>5103</v>
      </c>
      <c r="I488" s="2" t="s">
        <v>1462</v>
      </c>
      <c r="J488" s="20" t="s">
        <v>2982</v>
      </c>
      <c r="K488" s="48">
        <v>516.5</v>
      </c>
      <c r="L488" s="447" t="s">
        <v>5119</v>
      </c>
      <c r="M488" s="5">
        <v>24</v>
      </c>
      <c r="N488" s="5">
        <v>20</v>
      </c>
      <c r="O488" s="2" t="s">
        <v>5211</v>
      </c>
      <c r="P488" s="2" t="s">
        <v>5320</v>
      </c>
      <c r="Q488" s="2" t="s">
        <v>5361</v>
      </c>
      <c r="R488" s="2" t="s">
        <v>5210</v>
      </c>
      <c r="S488" s="2" t="s">
        <v>38</v>
      </c>
      <c r="T488" s="411" t="s">
        <v>5365</v>
      </c>
      <c r="U488" s="343" t="s">
        <v>5369</v>
      </c>
      <c r="V488" s="343" t="s">
        <v>5370</v>
      </c>
    </row>
    <row r="489" spans="1:22" ht="43.2" x14ac:dyDescent="0.3">
      <c r="A489" t="s">
        <v>38</v>
      </c>
      <c r="B489" s="27" t="s">
        <v>157</v>
      </c>
      <c r="C489" s="174" t="s">
        <v>5252</v>
      </c>
      <c r="D489" s="2" t="s">
        <v>5134</v>
      </c>
      <c r="E489" s="331">
        <v>25101002</v>
      </c>
      <c r="F489" s="2" t="s">
        <v>1272</v>
      </c>
      <c r="G489" s="266" t="s">
        <v>5201</v>
      </c>
      <c r="H489" s="2" t="s">
        <v>5197</v>
      </c>
      <c r="I489" s="2" t="s">
        <v>1272</v>
      </c>
      <c r="J489" s="2" t="s">
        <v>1830</v>
      </c>
      <c r="K489" s="5">
        <v>125</v>
      </c>
      <c r="L489" s="2" t="s">
        <v>5200</v>
      </c>
      <c r="M489" s="5">
        <v>5</v>
      </c>
      <c r="N489" s="5">
        <v>20</v>
      </c>
      <c r="O489" s="2" t="s">
        <v>5231</v>
      </c>
      <c r="P489" s="2" t="s">
        <v>3324</v>
      </c>
      <c r="Q489" s="2" t="s">
        <v>5368</v>
      </c>
      <c r="R489" s="2" t="s">
        <v>5333</v>
      </c>
      <c r="S489" s="2" t="s">
        <v>5225</v>
      </c>
      <c r="T489" s="174" t="s">
        <v>5337</v>
      </c>
      <c r="U489" s="18" t="s">
        <v>38</v>
      </c>
      <c r="V489" s="18" t="s">
        <v>5371</v>
      </c>
    </row>
    <row r="490" spans="1:22" ht="28.8" x14ac:dyDescent="0.3">
      <c r="A490" t="s">
        <v>55</v>
      </c>
      <c r="B490" s="99" t="s">
        <v>2427</v>
      </c>
      <c r="C490" s="125" t="s">
        <v>5221</v>
      </c>
      <c r="D490" s="125" t="s">
        <v>5203</v>
      </c>
      <c r="E490" s="125" t="s">
        <v>5222</v>
      </c>
      <c r="F490" s="125" t="s">
        <v>1462</v>
      </c>
      <c r="G490" s="370">
        <v>259748580</v>
      </c>
      <c r="H490" s="125" t="s">
        <v>5203</v>
      </c>
      <c r="I490" s="125" t="s">
        <v>1462</v>
      </c>
      <c r="J490" s="125" t="s">
        <v>3202</v>
      </c>
      <c r="K490" s="163">
        <v>179.88</v>
      </c>
      <c r="L490" s="125" t="s">
        <v>5223</v>
      </c>
      <c r="M490" s="163">
        <v>7</v>
      </c>
      <c r="N490" s="163">
        <v>20</v>
      </c>
      <c r="O490" s="125" t="s">
        <v>5204</v>
      </c>
      <c r="P490" s="125" t="s">
        <v>3074</v>
      </c>
      <c r="Q490" s="125" t="s">
        <v>5380</v>
      </c>
      <c r="R490" s="125" t="s">
        <v>5333</v>
      </c>
      <c r="S490" s="125" t="s">
        <v>5226</v>
      </c>
      <c r="T490" s="530" t="s">
        <v>5339</v>
      </c>
      <c r="U490" s="18" t="s">
        <v>5381</v>
      </c>
      <c r="V490" s="18" t="s">
        <v>5382</v>
      </c>
    </row>
    <row r="491" spans="1:22" ht="43.2" x14ac:dyDescent="0.3">
      <c r="A491" t="s">
        <v>55</v>
      </c>
      <c r="B491" s="27" t="s">
        <v>2864</v>
      </c>
      <c r="C491" s="2" t="s">
        <v>5218</v>
      </c>
      <c r="D491" s="2" t="s">
        <v>5158</v>
      </c>
      <c r="E491" s="2" t="s">
        <v>5219</v>
      </c>
      <c r="F491" s="2" t="s">
        <v>1462</v>
      </c>
      <c r="G491" s="19">
        <v>259902477</v>
      </c>
      <c r="H491" s="2" t="s">
        <v>5217</v>
      </c>
      <c r="I491" s="2" t="s">
        <v>1462</v>
      </c>
      <c r="J491" s="2" t="s">
        <v>137</v>
      </c>
      <c r="K491" s="5">
        <v>276.12</v>
      </c>
      <c r="L491" s="2" t="s">
        <v>5220</v>
      </c>
      <c r="M491" s="5">
        <v>10</v>
      </c>
      <c r="N491" s="5">
        <v>40</v>
      </c>
      <c r="O491" s="2" t="s">
        <v>5250</v>
      </c>
      <c r="P491" s="2" t="s">
        <v>3074</v>
      </c>
      <c r="Q491" s="2" t="s">
        <v>5380</v>
      </c>
      <c r="R491" s="2" t="s">
        <v>28</v>
      </c>
      <c r="S491" s="2" t="s">
        <v>5269</v>
      </c>
      <c r="T491" s="411" t="s">
        <v>5338</v>
      </c>
      <c r="U491" s="343" t="s">
        <v>5398</v>
      </c>
      <c r="V491" s="343" t="s">
        <v>5399</v>
      </c>
    </row>
    <row r="492" spans="1:22" x14ac:dyDescent="0.3">
      <c r="A492" t="s">
        <v>38</v>
      </c>
      <c r="B492" s="27" t="s">
        <v>2841</v>
      </c>
      <c r="C492" s="2" t="s">
        <v>5264</v>
      </c>
      <c r="D492" s="2" t="s">
        <v>5092</v>
      </c>
      <c r="E492" s="19">
        <v>99180506</v>
      </c>
      <c r="F492" s="2" t="s">
        <v>5265</v>
      </c>
      <c r="G492" s="2" t="s">
        <v>5266</v>
      </c>
      <c r="H492" s="2" t="s">
        <v>5251</v>
      </c>
      <c r="I492" s="2" t="s">
        <v>1318</v>
      </c>
      <c r="J492" s="2" t="s">
        <v>1873</v>
      </c>
      <c r="K492" s="5">
        <v>8</v>
      </c>
      <c r="L492" s="2" t="s">
        <v>5267</v>
      </c>
      <c r="M492" s="5">
        <v>1</v>
      </c>
      <c r="N492" s="5">
        <v>20</v>
      </c>
      <c r="O492" s="2" t="s">
        <v>5344</v>
      </c>
      <c r="P492" s="2" t="s">
        <v>5361</v>
      </c>
      <c r="Q492" s="2" t="s">
        <v>5331</v>
      </c>
      <c r="R492" s="2" t="s">
        <v>28</v>
      </c>
      <c r="S492" s="2"/>
      <c r="T492" s="25"/>
      <c r="U492" s="18" t="s">
        <v>38</v>
      </c>
      <c r="V492" s="18" t="s">
        <v>5388</v>
      </c>
    </row>
    <row r="493" spans="1:22" ht="57.6" x14ac:dyDescent="0.3">
      <c r="A493" t="s">
        <v>60</v>
      </c>
      <c r="B493" s="252" t="s">
        <v>5384</v>
      </c>
      <c r="C493" s="252" t="s">
        <v>5385</v>
      </c>
      <c r="D493" s="252" t="s">
        <v>5318</v>
      </c>
      <c r="E493" s="252" t="s">
        <v>5386</v>
      </c>
      <c r="F493" s="252" t="s">
        <v>1296</v>
      </c>
      <c r="G493" s="252" t="s">
        <v>5387</v>
      </c>
      <c r="H493" s="252" t="s">
        <v>5361</v>
      </c>
      <c r="I493" s="252" t="s">
        <v>1296</v>
      </c>
      <c r="J493" s="252" t="s">
        <v>78</v>
      </c>
      <c r="K493" s="283">
        <v>122</v>
      </c>
      <c r="L493" s="251">
        <v>82150</v>
      </c>
      <c r="M493" s="252">
        <v>4</v>
      </c>
      <c r="N493" s="252"/>
      <c r="O493" s="252" t="s">
        <v>5368</v>
      </c>
      <c r="P493" s="252" t="s">
        <v>5388</v>
      </c>
      <c r="Q493" s="252">
        <v>3</v>
      </c>
      <c r="R493" s="252" t="s">
        <v>28</v>
      </c>
      <c r="S493" s="252"/>
      <c r="T493" s="252"/>
      <c r="U493" s="18" t="s">
        <v>287</v>
      </c>
      <c r="V493" s="18" t="s">
        <v>2854</v>
      </c>
    </row>
    <row r="494" spans="1:22" ht="43.2" x14ac:dyDescent="0.3">
      <c r="A494" t="s">
        <v>60</v>
      </c>
      <c r="B494" s="261" t="s">
        <v>2864</v>
      </c>
      <c r="C494" s="252" t="s">
        <v>5244</v>
      </c>
      <c r="D494" s="252" t="s">
        <v>5114</v>
      </c>
      <c r="E494" s="252" t="s">
        <v>5245</v>
      </c>
      <c r="F494" s="252" t="s">
        <v>1462</v>
      </c>
      <c r="G494" s="251">
        <v>260339758</v>
      </c>
      <c r="H494" s="252" t="s">
        <v>5246</v>
      </c>
      <c r="I494" s="252" t="s">
        <v>1462</v>
      </c>
      <c r="J494" s="252" t="s">
        <v>3181</v>
      </c>
      <c r="K494" s="283">
        <v>161.9</v>
      </c>
      <c r="L494" s="251">
        <v>560</v>
      </c>
      <c r="M494" s="252">
        <v>6</v>
      </c>
      <c r="N494" s="252">
        <v>20</v>
      </c>
      <c r="O494" s="252" t="s">
        <v>5185</v>
      </c>
      <c r="P494" s="252" t="s">
        <v>5388</v>
      </c>
      <c r="Q494" s="252" t="s">
        <v>5380</v>
      </c>
      <c r="R494" s="252" t="s">
        <v>5389</v>
      </c>
      <c r="S494" s="252" t="s">
        <v>60</v>
      </c>
      <c r="T494" s="252" t="s">
        <v>5335</v>
      </c>
      <c r="U494" s="282" t="s">
        <v>38</v>
      </c>
      <c r="V494" s="282" t="s">
        <v>5331</v>
      </c>
    </row>
    <row r="495" spans="1:22" ht="72" x14ac:dyDescent="0.3">
      <c r="A495" t="s">
        <v>60</v>
      </c>
      <c r="B495" s="261" t="s">
        <v>2427</v>
      </c>
      <c r="C495" s="252" t="s">
        <v>5270</v>
      </c>
      <c r="D495" s="252" t="s">
        <v>5207</v>
      </c>
      <c r="E495" s="252" t="s">
        <v>5271</v>
      </c>
      <c r="F495" s="252" t="s">
        <v>1462</v>
      </c>
      <c r="G495" s="251">
        <v>260478700</v>
      </c>
      <c r="H495" s="252" t="s">
        <v>5207</v>
      </c>
      <c r="I495" s="252" t="s">
        <v>1462</v>
      </c>
      <c r="J495" s="252" t="s">
        <v>3202</v>
      </c>
      <c r="K495" s="283">
        <v>253</v>
      </c>
      <c r="L495" s="251">
        <v>551</v>
      </c>
      <c r="M495" s="531" t="s">
        <v>5489</v>
      </c>
      <c r="N495" s="300" t="s">
        <v>5490</v>
      </c>
      <c r="O495" s="252" t="s">
        <v>5272</v>
      </c>
      <c r="P495" s="252" t="s">
        <v>5326</v>
      </c>
      <c r="Q495" s="252" t="s">
        <v>5421</v>
      </c>
      <c r="R495" s="252" t="s">
        <v>5412</v>
      </c>
      <c r="S495" s="252" t="s">
        <v>5303</v>
      </c>
      <c r="T495" s="411" t="s">
        <v>5405</v>
      </c>
      <c r="U495" s="282" t="s">
        <v>5444</v>
      </c>
      <c r="V495" s="282" t="s">
        <v>5445</v>
      </c>
    </row>
    <row r="496" spans="1:22" ht="57.6" x14ac:dyDescent="0.3">
      <c r="A496" t="s">
        <v>55</v>
      </c>
      <c r="B496" s="27" t="s">
        <v>5238</v>
      </c>
      <c r="C496" s="2" t="s">
        <v>5237</v>
      </c>
      <c r="D496" s="95">
        <v>45849</v>
      </c>
      <c r="E496" s="2" t="s">
        <v>5239</v>
      </c>
      <c r="F496" s="2" t="s">
        <v>1462</v>
      </c>
      <c r="G496" s="2" t="s">
        <v>5240</v>
      </c>
      <c r="H496" s="2" t="s">
        <v>5112</v>
      </c>
      <c r="I496" s="2" t="s">
        <v>1462</v>
      </c>
      <c r="J496" s="2" t="s">
        <v>2982</v>
      </c>
      <c r="K496" s="5">
        <v>105.72</v>
      </c>
      <c r="L496" s="2" t="s">
        <v>5241</v>
      </c>
      <c r="M496" s="5">
        <v>5</v>
      </c>
      <c r="N496" s="5">
        <v>20</v>
      </c>
      <c r="O496" s="2" t="s">
        <v>5234</v>
      </c>
      <c r="P496" s="2" t="s">
        <v>5331</v>
      </c>
      <c r="Q496" s="2" t="s">
        <v>5376</v>
      </c>
      <c r="R496" s="2" t="s">
        <v>5422</v>
      </c>
      <c r="S496" s="2" t="s">
        <v>38</v>
      </c>
      <c r="T496" s="174" t="s">
        <v>5450</v>
      </c>
      <c r="U496" s="18" t="s">
        <v>5472</v>
      </c>
      <c r="V496" s="18" t="s">
        <v>5451</v>
      </c>
    </row>
    <row r="497" spans="1:23" ht="28.8" x14ac:dyDescent="0.3">
      <c r="A497" t="s">
        <v>55</v>
      </c>
      <c r="B497" s="27" t="s">
        <v>5238</v>
      </c>
      <c r="C497" s="2" t="s">
        <v>5237</v>
      </c>
      <c r="D497" s="95">
        <v>45849</v>
      </c>
      <c r="E497" s="2" t="s">
        <v>5239</v>
      </c>
      <c r="F497" s="2" t="s">
        <v>1462</v>
      </c>
      <c r="G497" s="2" t="s">
        <v>5242</v>
      </c>
      <c r="H497" s="2" t="s">
        <v>5112</v>
      </c>
      <c r="I497" s="2" t="s">
        <v>1462</v>
      </c>
      <c r="J497" s="2" t="s">
        <v>2982</v>
      </c>
      <c r="K497" s="5">
        <v>105.32</v>
      </c>
      <c r="L497" s="2" t="s">
        <v>5241</v>
      </c>
      <c r="M497" s="5">
        <v>5</v>
      </c>
      <c r="N497" s="5">
        <v>20</v>
      </c>
      <c r="O497" s="2" t="s">
        <v>5268</v>
      </c>
      <c r="P497" s="2" t="s">
        <v>5327</v>
      </c>
      <c r="Q497" s="2" t="s">
        <v>5443</v>
      </c>
      <c r="R497" s="2" t="s">
        <v>5422</v>
      </c>
      <c r="S497" s="2" t="s">
        <v>38</v>
      </c>
      <c r="T497" s="174" t="s">
        <v>5366</v>
      </c>
      <c r="U497" s="18" t="s">
        <v>5472</v>
      </c>
      <c r="V497" s="18" t="s">
        <v>5451</v>
      </c>
    </row>
    <row r="498" spans="1:23" ht="57.6" x14ac:dyDescent="0.3">
      <c r="A498" t="s">
        <v>38</v>
      </c>
      <c r="B498" s="27" t="s">
        <v>157</v>
      </c>
      <c r="C498" s="2" t="s">
        <v>5208</v>
      </c>
      <c r="D498" s="2" t="s">
        <v>5209</v>
      </c>
      <c r="E498" s="19">
        <v>25090302</v>
      </c>
      <c r="F498" s="2" t="s">
        <v>2222</v>
      </c>
      <c r="G498" s="19">
        <v>258822688</v>
      </c>
      <c r="H498" s="2" t="s">
        <v>5136</v>
      </c>
      <c r="I498" s="2" t="s">
        <v>2222</v>
      </c>
      <c r="J498" s="20" t="s">
        <v>5055</v>
      </c>
      <c r="K498" s="48">
        <v>257.39999999999998</v>
      </c>
      <c r="L498" s="2" t="s">
        <v>5111</v>
      </c>
      <c r="M498" s="5">
        <v>9</v>
      </c>
      <c r="N498" s="5">
        <v>40</v>
      </c>
      <c r="O498" s="2" t="s">
        <v>5279</v>
      </c>
      <c r="P498" s="2" t="s">
        <v>5327</v>
      </c>
      <c r="Q498" s="2" t="s">
        <v>5443</v>
      </c>
      <c r="R498" s="2" t="s">
        <v>5377</v>
      </c>
      <c r="S498" s="2" t="s">
        <v>38</v>
      </c>
      <c r="T498" s="174" t="s">
        <v>5439</v>
      </c>
      <c r="U498" s="343" t="s">
        <v>5473</v>
      </c>
      <c r="V498" s="343" t="s">
        <v>5474</v>
      </c>
    </row>
    <row r="499" spans="1:23" ht="72" x14ac:dyDescent="0.3">
      <c r="A499" t="s">
        <v>60</v>
      </c>
      <c r="B499" s="261" t="s">
        <v>2427</v>
      </c>
      <c r="C499" s="252" t="s">
        <v>5270</v>
      </c>
      <c r="D499" s="252" t="s">
        <v>5207</v>
      </c>
      <c r="E499" s="252" t="s">
        <v>5271</v>
      </c>
      <c r="F499" s="252" t="s">
        <v>1462</v>
      </c>
      <c r="G499" s="251">
        <v>260478700</v>
      </c>
      <c r="H499" s="252" t="s">
        <v>5207</v>
      </c>
      <c r="I499" s="252" t="s">
        <v>1462</v>
      </c>
      <c r="J499" s="252" t="s">
        <v>3202</v>
      </c>
      <c r="K499" s="283">
        <v>253</v>
      </c>
      <c r="L499" s="251">
        <v>551</v>
      </c>
      <c r="M499" s="531">
        <v>1</v>
      </c>
      <c r="N499" s="300">
        <v>40</v>
      </c>
      <c r="O499" s="252" t="s">
        <v>5272</v>
      </c>
      <c r="P499" s="252" t="s">
        <v>5376</v>
      </c>
      <c r="Q499" s="252" t="s">
        <v>5493</v>
      </c>
      <c r="R499" s="252" t="s">
        <v>5412</v>
      </c>
      <c r="S499" s="252" t="s">
        <v>5303</v>
      </c>
      <c r="T499" s="411" t="s">
        <v>5405</v>
      </c>
      <c r="U499" s="282" t="s">
        <v>5491</v>
      </c>
      <c r="V499" s="282" t="s">
        <v>5403</v>
      </c>
    </row>
    <row r="500" spans="1:23" ht="28.8" x14ac:dyDescent="0.3">
      <c r="A500" t="s">
        <v>38</v>
      </c>
      <c r="B500" s="27" t="s">
        <v>5273</v>
      </c>
      <c r="C500" s="2" t="s">
        <v>5274</v>
      </c>
      <c r="D500" s="2" t="s">
        <v>5134</v>
      </c>
      <c r="E500" s="2" t="s">
        <v>5275</v>
      </c>
      <c r="F500" s="2" t="s">
        <v>5255</v>
      </c>
      <c r="G500" s="2" t="s">
        <v>5334</v>
      </c>
      <c r="H500" s="2" t="s">
        <v>5204</v>
      </c>
      <c r="I500" s="2" t="s">
        <v>1272</v>
      </c>
      <c r="J500" s="27" t="s">
        <v>5276</v>
      </c>
      <c r="K500" s="5">
        <v>125</v>
      </c>
      <c r="L500" s="2">
        <v>800</v>
      </c>
      <c r="M500" s="5">
        <v>5</v>
      </c>
      <c r="N500" s="5">
        <v>20</v>
      </c>
      <c r="O500" s="2" t="s">
        <v>3324</v>
      </c>
      <c r="P500" s="2" t="s">
        <v>5403</v>
      </c>
      <c r="Q500" s="2" t="s">
        <v>5485</v>
      </c>
      <c r="R500" s="2" t="s">
        <v>5377</v>
      </c>
      <c r="S500" s="2" t="s">
        <v>38</v>
      </c>
      <c r="T500" s="411" t="s">
        <v>5309</v>
      </c>
      <c r="U500" s="74" t="s">
        <v>38</v>
      </c>
      <c r="V500" s="74" t="s">
        <v>5359</v>
      </c>
    </row>
    <row r="501" spans="1:23" x14ac:dyDescent="0.3">
      <c r="A501" t="s">
        <v>60</v>
      </c>
      <c r="B501" s="27" t="s">
        <v>2176</v>
      </c>
      <c r="C501" s="2" t="s">
        <v>5397</v>
      </c>
      <c r="D501" s="2"/>
      <c r="E501" s="2" t="s">
        <v>5363</v>
      </c>
      <c r="F501" s="2" t="s">
        <v>1232</v>
      </c>
      <c r="G501" s="19">
        <v>262285955</v>
      </c>
      <c r="H501" s="2" t="s">
        <v>5248</v>
      </c>
      <c r="I501" s="2" t="s">
        <v>1232</v>
      </c>
      <c r="J501" s="2" t="s">
        <v>5123</v>
      </c>
      <c r="K501" s="5">
        <v>27</v>
      </c>
      <c r="L501" s="19">
        <v>1185</v>
      </c>
      <c r="M501" s="44">
        <v>1</v>
      </c>
      <c r="N501" s="44">
        <v>40</v>
      </c>
      <c r="O501" s="2" t="s">
        <v>5382</v>
      </c>
      <c r="P501" s="2" t="s">
        <v>5345</v>
      </c>
      <c r="Q501" s="2" t="s">
        <v>5478</v>
      </c>
      <c r="R501" s="2" t="s">
        <v>5433</v>
      </c>
      <c r="S501" s="2"/>
      <c r="T501" s="2"/>
      <c r="U501" s="282" t="s">
        <v>5277</v>
      </c>
      <c r="V501" s="282" t="s">
        <v>5359</v>
      </c>
    </row>
    <row r="502" spans="1:23" ht="43.2" x14ac:dyDescent="0.3">
      <c r="A502" t="s">
        <v>60</v>
      </c>
      <c r="B502" s="261" t="s">
        <v>5480</v>
      </c>
      <c r="C502" s="252" t="s">
        <v>5481</v>
      </c>
      <c r="D502" s="252" t="s">
        <v>5482</v>
      </c>
      <c r="E502" s="252" t="s">
        <v>5483</v>
      </c>
      <c r="F502" s="252" t="s">
        <v>1296</v>
      </c>
      <c r="G502" s="252"/>
      <c r="H502" s="252"/>
      <c r="I502" s="252" t="s">
        <v>1296</v>
      </c>
      <c r="J502" s="252" t="s">
        <v>1939</v>
      </c>
      <c r="K502" s="252">
        <v>10.44</v>
      </c>
      <c r="L502" s="300" t="s">
        <v>3289</v>
      </c>
      <c r="M502" s="252">
        <v>1</v>
      </c>
      <c r="N502" s="252"/>
      <c r="O502" s="252" t="s">
        <v>5288</v>
      </c>
      <c r="P502" s="252" t="s">
        <v>5406</v>
      </c>
      <c r="Q502" s="252"/>
      <c r="R502" s="252" t="s">
        <v>28</v>
      </c>
      <c r="S502" s="252"/>
      <c r="T502" s="252"/>
      <c r="U502" t="s">
        <v>287</v>
      </c>
      <c r="V502" t="s">
        <v>5493</v>
      </c>
    </row>
    <row r="503" spans="1:23" ht="28.8" x14ac:dyDescent="0.3">
      <c r="A503" t="s">
        <v>38</v>
      </c>
      <c r="B503" s="27" t="s">
        <v>157</v>
      </c>
      <c r="C503" s="2" t="s">
        <v>5350</v>
      </c>
      <c r="D503" s="2" t="s">
        <v>5243</v>
      </c>
      <c r="E503" s="19">
        <v>25111701</v>
      </c>
      <c r="F503" s="2" t="s">
        <v>1272</v>
      </c>
      <c r="G503" s="266" t="s">
        <v>5315</v>
      </c>
      <c r="H503" s="2" t="s">
        <v>5311</v>
      </c>
      <c r="I503" s="2" t="s">
        <v>1272</v>
      </c>
      <c r="J503" s="25" t="s">
        <v>5316</v>
      </c>
      <c r="K503" s="5">
        <v>125</v>
      </c>
      <c r="L503" s="2">
        <v>785</v>
      </c>
      <c r="M503" s="5">
        <v>5</v>
      </c>
      <c r="N503" s="5">
        <v>20</v>
      </c>
      <c r="O503" s="2" t="s">
        <v>5361</v>
      </c>
      <c r="P503" s="2" t="s">
        <v>5478</v>
      </c>
      <c r="Q503" s="2" t="s">
        <v>5524</v>
      </c>
      <c r="R503" s="2" t="s">
        <v>5379</v>
      </c>
      <c r="S503" s="2" t="s">
        <v>5348</v>
      </c>
      <c r="T503" s="411" t="s">
        <v>5340</v>
      </c>
      <c r="U503" s="343" t="s">
        <v>5526</v>
      </c>
      <c r="V503" s="343" t="s">
        <v>5527</v>
      </c>
      <c r="W503" s="18" t="s">
        <v>55</v>
      </c>
    </row>
    <row r="504" spans="1:23" ht="43.2" x14ac:dyDescent="0.3">
      <c r="A504" t="s">
        <v>38</v>
      </c>
      <c r="B504" s="331" t="s">
        <v>5127</v>
      </c>
      <c r="C504" s="2" t="s">
        <v>5131</v>
      </c>
      <c r="D504" s="2" t="s">
        <v>5095</v>
      </c>
      <c r="E504" s="250" t="s">
        <v>5129</v>
      </c>
      <c r="F504" s="2" t="s">
        <v>5128</v>
      </c>
      <c r="G504" s="2" t="s">
        <v>5126</v>
      </c>
      <c r="H504" s="2" t="s">
        <v>5132</v>
      </c>
      <c r="I504" s="2" t="s">
        <v>1897</v>
      </c>
      <c r="J504" s="4" t="s">
        <v>5133</v>
      </c>
      <c r="K504" s="48">
        <v>406.36</v>
      </c>
      <c r="L504" s="2" t="s">
        <v>5130</v>
      </c>
      <c r="M504" s="518" t="s">
        <v>5519</v>
      </c>
      <c r="N504" s="5">
        <v>20</v>
      </c>
      <c r="O504" s="2" t="s">
        <v>5367</v>
      </c>
      <c r="P504" s="266" t="s">
        <v>5521</v>
      </c>
      <c r="Q504" s="266" t="s">
        <v>5522</v>
      </c>
      <c r="R504" s="2" t="s">
        <v>5488</v>
      </c>
      <c r="S504" s="2" t="s">
        <v>38</v>
      </c>
      <c r="T504" s="174" t="s">
        <v>5353</v>
      </c>
      <c r="U504" s="343" t="s">
        <v>5543</v>
      </c>
      <c r="V504" s="343" t="s">
        <v>5544</v>
      </c>
    </row>
    <row r="505" spans="1:23" ht="28.8" x14ac:dyDescent="0.3">
      <c r="A505" t="s">
        <v>38</v>
      </c>
      <c r="B505" s="27" t="s">
        <v>2427</v>
      </c>
      <c r="C505" s="2" t="s">
        <v>5342</v>
      </c>
      <c r="D505" s="2" t="s">
        <v>5268</v>
      </c>
      <c r="E505" s="2" t="s">
        <v>5343</v>
      </c>
      <c r="F505" s="2" t="s">
        <v>1462</v>
      </c>
      <c r="G505" s="331">
        <v>262566272</v>
      </c>
      <c r="H505" s="2" t="s">
        <v>5248</v>
      </c>
      <c r="I505" s="2" t="s">
        <v>1462</v>
      </c>
      <c r="J505" s="25" t="s">
        <v>3202</v>
      </c>
      <c r="K505" s="5">
        <v>124.56</v>
      </c>
      <c r="L505" s="2">
        <v>525</v>
      </c>
      <c r="M505" s="5">
        <v>5</v>
      </c>
      <c r="N505" s="5">
        <v>20</v>
      </c>
      <c r="O505" s="2" t="s">
        <v>5395</v>
      </c>
      <c r="P505" s="2" t="s">
        <v>5504</v>
      </c>
      <c r="Q505" s="2" t="s">
        <v>5529</v>
      </c>
      <c r="R505" s="2" t="s">
        <v>5488</v>
      </c>
      <c r="S505" s="2" t="s">
        <v>38</v>
      </c>
      <c r="T505" s="266" t="s">
        <v>5354</v>
      </c>
      <c r="U505" s="343" t="s">
        <v>5557</v>
      </c>
      <c r="V505" s="343" t="s">
        <v>5558</v>
      </c>
    </row>
    <row r="506" spans="1:23" x14ac:dyDescent="0.3">
      <c r="A506" t="s">
        <v>38</v>
      </c>
      <c r="B506" s="27" t="s">
        <v>3346</v>
      </c>
      <c r="C506" s="2" t="s">
        <v>5329</v>
      </c>
      <c r="D506" s="2" t="s">
        <v>5246</v>
      </c>
      <c r="E506" s="19">
        <v>6001647726</v>
      </c>
      <c r="F506" s="2" t="s">
        <v>1318</v>
      </c>
      <c r="G506" s="27" t="s">
        <v>5330</v>
      </c>
      <c r="H506" s="2" t="s">
        <v>5281</v>
      </c>
      <c r="I506" s="2" t="s">
        <v>1318</v>
      </c>
      <c r="J506" s="2" t="s">
        <v>152</v>
      </c>
      <c r="K506" s="5">
        <v>20</v>
      </c>
      <c r="L506" s="2">
        <v>2620</v>
      </c>
      <c r="M506" s="5">
        <v>1</v>
      </c>
      <c r="N506" s="5">
        <v>20</v>
      </c>
      <c r="O506" s="2" t="s">
        <v>5322</v>
      </c>
      <c r="P506" s="2" t="s">
        <v>5493</v>
      </c>
      <c r="Q506" s="2" t="s">
        <v>5537</v>
      </c>
      <c r="R506" s="2" t="s">
        <v>5362</v>
      </c>
      <c r="S506" s="2"/>
      <c r="T506" s="2"/>
      <c r="U506" s="74" t="s">
        <v>38</v>
      </c>
      <c r="V506" t="s">
        <v>5538</v>
      </c>
    </row>
    <row r="507" spans="1:23" ht="28.8" x14ac:dyDescent="0.3">
      <c r="A507" t="s">
        <v>38</v>
      </c>
      <c r="B507" s="27" t="s">
        <v>157</v>
      </c>
      <c r="C507" t="s">
        <v>5349</v>
      </c>
      <c r="D507" s="2" t="s">
        <v>5243</v>
      </c>
      <c r="E507" s="19">
        <v>25110601</v>
      </c>
      <c r="F507" s="2" t="s">
        <v>1272</v>
      </c>
      <c r="G507" s="266" t="s">
        <v>5317</v>
      </c>
      <c r="H507" s="2" t="s">
        <v>5311</v>
      </c>
      <c r="I507" s="2" t="s">
        <v>1272</v>
      </c>
      <c r="J507" s="25" t="s">
        <v>5316</v>
      </c>
      <c r="K507" s="5">
        <v>125</v>
      </c>
      <c r="L507" s="2">
        <v>795</v>
      </c>
      <c r="M507" s="5">
        <v>5</v>
      </c>
      <c r="N507" s="5">
        <v>20</v>
      </c>
      <c r="O507" s="2" t="s">
        <v>5318</v>
      </c>
      <c r="P507" s="2" t="s">
        <v>5478</v>
      </c>
      <c r="Q507" s="2" t="s">
        <v>5523</v>
      </c>
      <c r="R507" s="2" t="s">
        <v>5379</v>
      </c>
      <c r="S507" s="2" t="s">
        <v>60</v>
      </c>
      <c r="T507" s="411" t="s">
        <v>5341</v>
      </c>
      <c r="U507" s="18" t="s">
        <v>38</v>
      </c>
      <c r="V507" s="18" t="s">
        <v>5485</v>
      </c>
      <c r="W507" s="18"/>
    </row>
    <row r="508" spans="1:23" ht="43.2" x14ac:dyDescent="0.3">
      <c r="A508" t="s">
        <v>60</v>
      </c>
      <c r="B508" s="261" t="s">
        <v>3346</v>
      </c>
      <c r="C508" s="252" t="s">
        <v>5332</v>
      </c>
      <c r="D508" s="252" t="s">
        <v>5246</v>
      </c>
      <c r="E508" s="251">
        <v>6001647718</v>
      </c>
      <c r="F508" s="252" t="s">
        <v>1318</v>
      </c>
      <c r="G508" s="252" t="s">
        <v>5347</v>
      </c>
      <c r="H508" s="252" t="s">
        <v>5281</v>
      </c>
      <c r="I508" s="252" t="s">
        <v>1318</v>
      </c>
      <c r="J508" s="252" t="s">
        <v>152</v>
      </c>
      <c r="K508" s="283">
        <v>20</v>
      </c>
      <c r="L508" s="300">
        <v>2620</v>
      </c>
      <c r="M508" s="252">
        <v>1</v>
      </c>
      <c r="N508" s="252">
        <v>20</v>
      </c>
      <c r="O508" s="252" t="s">
        <v>5322</v>
      </c>
      <c r="P508" s="252" t="s">
        <v>5493</v>
      </c>
      <c r="Q508" s="252" t="s">
        <v>5537</v>
      </c>
      <c r="R508" s="252" t="s">
        <v>28</v>
      </c>
      <c r="S508" s="252"/>
      <c r="T508" s="252"/>
      <c r="U508" s="74" t="s">
        <v>2772</v>
      </c>
      <c r="V508" t="s">
        <v>5485</v>
      </c>
    </row>
    <row r="509" spans="1:23" ht="43.2" x14ac:dyDescent="0.3">
      <c r="A509" t="s">
        <v>38</v>
      </c>
      <c r="B509" s="27" t="s">
        <v>2427</v>
      </c>
      <c r="C509" s="2" t="s">
        <v>5325</v>
      </c>
      <c r="D509" s="2" t="s">
        <v>5159</v>
      </c>
      <c r="E509" s="2" t="s">
        <v>5324</v>
      </c>
      <c r="F509" s="2" t="s">
        <v>1462</v>
      </c>
      <c r="G509" s="19">
        <v>260552035</v>
      </c>
      <c r="H509" s="2" t="s">
        <v>5311</v>
      </c>
      <c r="I509" s="2" t="s">
        <v>1462</v>
      </c>
      <c r="J509" s="2" t="s">
        <v>3202</v>
      </c>
      <c r="K509" s="5">
        <v>124.26</v>
      </c>
      <c r="L509" s="2">
        <v>550</v>
      </c>
      <c r="M509" s="5">
        <v>5</v>
      </c>
      <c r="N509" s="5">
        <v>20</v>
      </c>
      <c r="O509" s="2" t="s">
        <v>5395</v>
      </c>
      <c r="P509" s="2" t="s">
        <v>5504</v>
      </c>
      <c r="Q509" s="2" t="s">
        <v>5536</v>
      </c>
      <c r="R509" s="266" t="s">
        <v>5424</v>
      </c>
      <c r="S509" s="2" t="s">
        <v>5226</v>
      </c>
      <c r="T509" s="174" t="s">
        <v>5547</v>
      </c>
      <c r="U509" s="18" t="s">
        <v>5381</v>
      </c>
      <c r="V509" s="343" t="s">
        <v>5552</v>
      </c>
    </row>
    <row r="510" spans="1:23" ht="43.2" x14ac:dyDescent="0.3">
      <c r="A510" t="s">
        <v>60</v>
      </c>
      <c r="B510" s="261" t="s">
        <v>3346</v>
      </c>
      <c r="C510" s="2" t="s">
        <v>5402</v>
      </c>
      <c r="D510" s="252" t="s">
        <v>5323</v>
      </c>
      <c r="E510" s="19">
        <v>6001656530</v>
      </c>
      <c r="F510" s="252" t="s">
        <v>1318</v>
      </c>
      <c r="G510" s="252" t="s">
        <v>5401</v>
      </c>
      <c r="H510" s="252" t="s">
        <v>5326</v>
      </c>
      <c r="I510" s="252" t="s">
        <v>1318</v>
      </c>
      <c r="J510" s="252" t="s">
        <v>152</v>
      </c>
      <c r="K510" s="283">
        <v>40</v>
      </c>
      <c r="L510" s="252">
        <v>2430</v>
      </c>
      <c r="M510" s="252">
        <v>2</v>
      </c>
      <c r="N510" s="252">
        <v>20</v>
      </c>
      <c r="O510" s="252" t="s">
        <v>5364</v>
      </c>
      <c r="P510" s="252" t="s">
        <v>5523</v>
      </c>
      <c r="Q510" s="252" t="s">
        <v>5396</v>
      </c>
      <c r="R510" s="252" t="s">
        <v>5433</v>
      </c>
      <c r="S510" s="252"/>
      <c r="T510" s="252"/>
      <c r="U510" s="282" t="s">
        <v>2772</v>
      </c>
      <c r="V510" s="282" t="s">
        <v>5523</v>
      </c>
    </row>
    <row r="511" spans="1:23" ht="43.2" x14ac:dyDescent="0.3">
      <c r="A511" t="s">
        <v>60</v>
      </c>
      <c r="B511" s="261" t="s">
        <v>2427</v>
      </c>
      <c r="C511" s="2" t="s">
        <v>5392</v>
      </c>
      <c r="D511" s="252" t="s">
        <v>5251</v>
      </c>
      <c r="E511" s="252" t="s">
        <v>5390</v>
      </c>
      <c r="F511" s="252" t="s">
        <v>1462</v>
      </c>
      <c r="G511" s="251">
        <v>261090180</v>
      </c>
      <c r="H511" s="252" t="s">
        <v>5391</v>
      </c>
      <c r="I511" s="252" t="s">
        <v>1462</v>
      </c>
      <c r="J511" s="252" t="s">
        <v>3181</v>
      </c>
      <c r="K511" s="283">
        <v>260.12</v>
      </c>
      <c r="L511" s="300">
        <v>630</v>
      </c>
      <c r="M511" s="252">
        <v>10</v>
      </c>
      <c r="N511" s="252">
        <v>20</v>
      </c>
      <c r="O511" s="252" t="s">
        <v>5451</v>
      </c>
      <c r="P511" s="252" t="s">
        <v>5346</v>
      </c>
      <c r="Q511" s="252" t="s">
        <v>5588</v>
      </c>
      <c r="R511" s="252" t="s">
        <v>5433</v>
      </c>
      <c r="S511" s="252" t="s">
        <v>5393</v>
      </c>
      <c r="T511" s="411" t="s">
        <v>5418</v>
      </c>
      <c r="U511" s="282" t="s">
        <v>5602</v>
      </c>
      <c r="V511" s="282" t="s">
        <v>5603</v>
      </c>
    </row>
    <row r="512" spans="1:23" ht="28.8" x14ac:dyDescent="0.3">
      <c r="A512" t="s">
        <v>344</v>
      </c>
      <c r="B512" s="536" t="s">
        <v>2427</v>
      </c>
      <c r="C512" s="41" t="s">
        <v>5304</v>
      </c>
      <c r="D512" s="535" t="s">
        <v>5159</v>
      </c>
      <c r="E512" s="189" t="s">
        <v>5306</v>
      </c>
      <c r="F512" s="268" t="s">
        <v>1462</v>
      </c>
      <c r="G512" s="268" t="s">
        <v>5310</v>
      </c>
      <c r="H512" s="535" t="s">
        <v>5204</v>
      </c>
      <c r="I512" s="535" t="s">
        <v>1462</v>
      </c>
      <c r="J512" s="7" t="s">
        <v>243</v>
      </c>
      <c r="K512" s="537">
        <v>249.54</v>
      </c>
      <c r="L512" s="424">
        <v>635</v>
      </c>
      <c r="M512" s="535">
        <v>10</v>
      </c>
      <c r="N512" s="538">
        <v>20</v>
      </c>
      <c r="O512" s="539" t="s">
        <v>5423</v>
      </c>
      <c r="P512" s="535" t="s">
        <v>5609</v>
      </c>
      <c r="Q512" s="535" t="s">
        <v>5479</v>
      </c>
      <c r="R512" s="535" t="s">
        <v>5433</v>
      </c>
      <c r="S512" s="535" t="s">
        <v>5328</v>
      </c>
      <c r="T512" s="540" t="s">
        <v>5539</v>
      </c>
      <c r="U512" s="282" t="s">
        <v>5637</v>
      </c>
      <c r="V512" s="282" t="s">
        <v>5638</v>
      </c>
    </row>
    <row r="513" spans="1:22" ht="43.2" x14ac:dyDescent="0.3">
      <c r="A513" t="s">
        <v>60</v>
      </c>
      <c r="B513" s="254" t="s">
        <v>5373</v>
      </c>
      <c r="C513" s="259" t="s">
        <v>5374</v>
      </c>
      <c r="D513" s="535" t="s">
        <v>5134</v>
      </c>
      <c r="E513" s="259" t="s">
        <v>5375</v>
      </c>
      <c r="F513" s="535" t="s">
        <v>1462</v>
      </c>
      <c r="G513" s="543">
        <v>263076212</v>
      </c>
      <c r="H513" s="535" t="s">
        <v>5272</v>
      </c>
      <c r="I513" s="535" t="s">
        <v>1462</v>
      </c>
      <c r="J513" s="544" t="s">
        <v>3157</v>
      </c>
      <c r="K513" s="545">
        <v>124.14</v>
      </c>
      <c r="L513" s="538">
        <v>500</v>
      </c>
      <c r="M513" s="535">
        <v>5</v>
      </c>
      <c r="N513" s="535">
        <v>20</v>
      </c>
      <c r="O513" s="535" t="s">
        <v>5508</v>
      </c>
      <c r="P513" s="535" t="s">
        <v>5607</v>
      </c>
      <c r="Q513" s="535" t="s">
        <v>5608</v>
      </c>
      <c r="R513" s="535" t="s">
        <v>5525</v>
      </c>
      <c r="S513" s="535"/>
      <c r="T513" s="540" t="s">
        <v>5404</v>
      </c>
      <c r="U513" s="282" t="s">
        <v>5632</v>
      </c>
      <c r="V513" s="282" t="s">
        <v>5633</v>
      </c>
    </row>
    <row r="514" spans="1:22" ht="72" x14ac:dyDescent="0.3">
      <c r="A514" t="s">
        <v>55</v>
      </c>
      <c r="B514" s="27" t="s">
        <v>5356</v>
      </c>
      <c r="C514" s="2" t="s">
        <v>5357</v>
      </c>
      <c r="D514" s="2" t="s">
        <v>5203</v>
      </c>
      <c r="E514" s="19">
        <v>2346</v>
      </c>
      <c r="F514" s="2" t="s">
        <v>1904</v>
      </c>
      <c r="G514" s="19">
        <v>261698674</v>
      </c>
      <c r="H514" s="2" t="s">
        <v>5355</v>
      </c>
      <c r="I514" s="2" t="s">
        <v>1904</v>
      </c>
      <c r="J514" s="2" t="s">
        <v>5358</v>
      </c>
      <c r="K514" s="5">
        <v>495.99099999999999</v>
      </c>
      <c r="L514" s="2">
        <v>503</v>
      </c>
      <c r="M514" s="5" t="s">
        <v>5594</v>
      </c>
      <c r="N514" s="5">
        <v>40</v>
      </c>
      <c r="O514" s="2" t="s">
        <v>5493</v>
      </c>
      <c r="P514" s="2" t="s">
        <v>5536</v>
      </c>
      <c r="Q514" s="2" t="s">
        <v>5442</v>
      </c>
      <c r="R514" s="2" t="s">
        <v>5589</v>
      </c>
      <c r="S514" s="2" t="s">
        <v>5595</v>
      </c>
      <c r="T514" s="174" t="s">
        <v>5495</v>
      </c>
      <c r="U514" s="343" t="s">
        <v>5676</v>
      </c>
      <c r="V514" s="343" t="s">
        <v>5677</v>
      </c>
    </row>
    <row r="515" spans="1:22" ht="43.2" x14ac:dyDescent="0.3">
      <c r="A515" t="s">
        <v>38</v>
      </c>
      <c r="B515" s="2" t="s">
        <v>5565</v>
      </c>
      <c r="C515" s="2" t="s">
        <v>5566</v>
      </c>
      <c r="D515" s="2" t="s">
        <v>5092</v>
      </c>
      <c r="E515" s="2" t="s">
        <v>5567</v>
      </c>
      <c r="F515" s="2" t="s">
        <v>5568</v>
      </c>
      <c r="G515" s="266" t="s">
        <v>5569</v>
      </c>
      <c r="H515" s="2" t="s">
        <v>5243</v>
      </c>
      <c r="I515" s="2" t="s">
        <v>5568</v>
      </c>
      <c r="J515" s="2" t="s">
        <v>5570</v>
      </c>
      <c r="K515" s="5">
        <v>1</v>
      </c>
      <c r="L515" s="2" t="s">
        <v>5571</v>
      </c>
      <c r="M515" s="2" t="s">
        <v>1817</v>
      </c>
      <c r="N515" s="2"/>
      <c r="O515" s="2" t="s">
        <v>5346</v>
      </c>
      <c r="P515" s="2" t="s">
        <v>5643</v>
      </c>
      <c r="Q515" s="2">
        <v>14</v>
      </c>
      <c r="R515" s="2" t="s">
        <v>5572</v>
      </c>
      <c r="S515" s="2"/>
      <c r="T515" s="2"/>
      <c r="U515" t="s">
        <v>38</v>
      </c>
      <c r="V515" t="s">
        <v>5643</v>
      </c>
    </row>
    <row r="516" spans="1:22" ht="28.8" x14ac:dyDescent="0.3">
      <c r="A516" t="s">
        <v>55</v>
      </c>
      <c r="B516" s="27" t="s">
        <v>157</v>
      </c>
      <c r="C516" s="37" t="s">
        <v>5452</v>
      </c>
      <c r="D516" s="2" t="s">
        <v>5453</v>
      </c>
      <c r="E516" s="19">
        <v>25122201</v>
      </c>
      <c r="F516" s="2" t="s">
        <v>1272</v>
      </c>
      <c r="G516" s="266" t="s">
        <v>5400</v>
      </c>
      <c r="H516" s="2" t="s">
        <v>5364</v>
      </c>
      <c r="I516" s="2" t="s">
        <v>1272</v>
      </c>
      <c r="J516" s="2" t="s">
        <v>5316</v>
      </c>
      <c r="K516" s="5">
        <v>125</v>
      </c>
      <c r="L516" s="2">
        <v>809</v>
      </c>
      <c r="M516" s="5">
        <v>5</v>
      </c>
      <c r="N516" s="5">
        <v>20</v>
      </c>
      <c r="O516" s="2" t="s">
        <v>5443</v>
      </c>
      <c r="P516" s="2" t="s">
        <v>5652</v>
      </c>
      <c r="Q516" s="2" t="s">
        <v>5619</v>
      </c>
      <c r="R516" s="2" t="s">
        <v>5525</v>
      </c>
      <c r="S516" s="2" t="s">
        <v>5348</v>
      </c>
      <c r="T516" s="266" t="s">
        <v>5417</v>
      </c>
      <c r="U516" s="550" t="s">
        <v>3143</v>
      </c>
      <c r="V516" s="74" t="s">
        <v>5667</v>
      </c>
    </row>
    <row r="517" spans="1:22" ht="72" x14ac:dyDescent="0.3">
      <c r="A517" t="s">
        <v>38</v>
      </c>
      <c r="B517" s="27" t="s">
        <v>5282</v>
      </c>
      <c r="C517" s="2" t="s">
        <v>5283</v>
      </c>
      <c r="D517" s="2" t="s">
        <v>5158</v>
      </c>
      <c r="E517" s="19">
        <v>128228</v>
      </c>
      <c r="F517" s="19" t="s">
        <v>1904</v>
      </c>
      <c r="G517" s="19">
        <v>260799852</v>
      </c>
      <c r="H517" s="19" t="s">
        <v>5284</v>
      </c>
      <c r="I517" s="19" t="s">
        <v>5285</v>
      </c>
      <c r="J517" s="19" t="s">
        <v>5286</v>
      </c>
      <c r="K517" s="5">
        <v>499.86</v>
      </c>
      <c r="L517" s="5" t="s">
        <v>5287</v>
      </c>
      <c r="M517" s="5">
        <v>20</v>
      </c>
      <c r="N517" s="5">
        <v>20</v>
      </c>
      <c r="O517" s="19" t="s">
        <v>5504</v>
      </c>
      <c r="P517" s="19" t="s">
        <v>5479</v>
      </c>
      <c r="Q517" s="44" t="s">
        <v>5668</v>
      </c>
      <c r="R517" s="19" t="s">
        <v>28</v>
      </c>
      <c r="S517" s="19"/>
      <c r="T517" s="411" t="s">
        <v>5352</v>
      </c>
      <c r="U517" s="552" t="s">
        <v>5707</v>
      </c>
      <c r="V517" s="552" t="s">
        <v>5708</v>
      </c>
    </row>
    <row r="518" spans="1:22" ht="28.8" x14ac:dyDescent="0.3">
      <c r="A518" t="s">
        <v>38</v>
      </c>
      <c r="B518" s="27" t="s">
        <v>5356</v>
      </c>
      <c r="C518" s="2" t="s">
        <v>5357</v>
      </c>
      <c r="D518" s="2" t="s">
        <v>5203</v>
      </c>
      <c r="E518" s="19">
        <v>2346</v>
      </c>
      <c r="F518" s="2" t="s">
        <v>1904</v>
      </c>
      <c r="G518" s="19">
        <v>261698674</v>
      </c>
      <c r="H518" s="2" t="s">
        <v>5355</v>
      </c>
      <c r="I518" s="2" t="s">
        <v>1904</v>
      </c>
      <c r="J518" s="2" t="s">
        <v>5358</v>
      </c>
      <c r="K518" s="5">
        <v>495.99099999999999</v>
      </c>
      <c r="L518" s="2">
        <v>503</v>
      </c>
      <c r="M518" s="5" t="s">
        <v>5642</v>
      </c>
      <c r="N518" s="5">
        <v>40</v>
      </c>
      <c r="O518" s="2" t="s">
        <v>5493</v>
      </c>
      <c r="P518" s="2" t="s">
        <v>5608</v>
      </c>
      <c r="Q518" s="2" t="s">
        <v>5646</v>
      </c>
      <c r="R518" s="2" t="s">
        <v>5589</v>
      </c>
      <c r="S518" s="2" t="s">
        <v>5595</v>
      </c>
      <c r="T518" s="174" t="s">
        <v>5495</v>
      </c>
      <c r="U518" s="343" t="s">
        <v>38</v>
      </c>
      <c r="V518" s="343" t="s">
        <v>5695</v>
      </c>
    </row>
    <row r="519" spans="1:22" x14ac:dyDescent="0.3">
      <c r="A519" t="s">
        <v>38</v>
      </c>
      <c r="B519" s="27" t="s">
        <v>3346</v>
      </c>
      <c r="C519" s="2" t="s">
        <v>5505</v>
      </c>
      <c r="D519" s="2" t="s">
        <v>5506</v>
      </c>
      <c r="E519" s="19">
        <v>6001656594</v>
      </c>
      <c r="F519" s="2" t="s">
        <v>1318</v>
      </c>
      <c r="G519" s="2" t="s">
        <v>5507</v>
      </c>
      <c r="H519" s="2" t="s">
        <v>5508</v>
      </c>
      <c r="I519" s="2" t="s">
        <v>1318</v>
      </c>
      <c r="J519" s="2" t="s">
        <v>152</v>
      </c>
      <c r="K519" s="5">
        <v>60</v>
      </c>
      <c r="L519" s="2">
        <v>2430</v>
      </c>
      <c r="M519" s="5">
        <v>3</v>
      </c>
      <c r="N519" s="5">
        <v>20</v>
      </c>
      <c r="O519" s="2" t="s">
        <v>5485</v>
      </c>
      <c r="P519" s="2" t="s">
        <v>5691</v>
      </c>
      <c r="Q519" s="2" t="s">
        <v>5701</v>
      </c>
      <c r="R519" s="2" t="s">
        <v>5573</v>
      </c>
      <c r="S519" s="2"/>
      <c r="T519" s="2"/>
      <c r="U519" s="18" t="s">
        <v>38</v>
      </c>
      <c r="V519" s="18" t="s">
        <v>5430</v>
      </c>
    </row>
    <row r="520" spans="1:22" ht="28.8" x14ac:dyDescent="0.3">
      <c r="A520" t="s">
        <v>38</v>
      </c>
      <c r="B520" s="27" t="s">
        <v>5414</v>
      </c>
      <c r="C520" s="2" t="s">
        <v>5499</v>
      </c>
      <c r="D520" s="2"/>
      <c r="E520" s="2" t="s">
        <v>5415</v>
      </c>
      <c r="F520" s="2" t="s">
        <v>1232</v>
      </c>
      <c r="G520" s="2" t="s">
        <v>5413</v>
      </c>
      <c r="H520" s="2" t="s">
        <v>5331</v>
      </c>
      <c r="I520" s="2" t="s">
        <v>1232</v>
      </c>
      <c r="J520" s="2" t="s">
        <v>1835</v>
      </c>
      <c r="K520" s="5">
        <v>46</v>
      </c>
      <c r="L520" s="2">
        <v>875</v>
      </c>
      <c r="M520" s="5">
        <v>2</v>
      </c>
      <c r="N520" s="5">
        <v>20</v>
      </c>
      <c r="O520" s="2" t="s">
        <v>5406</v>
      </c>
      <c r="P520" s="2" t="s">
        <v>5695</v>
      </c>
      <c r="Q520" s="2" t="s">
        <v>5615</v>
      </c>
      <c r="R520" s="2" t="s">
        <v>5678</v>
      </c>
      <c r="S520" s="2"/>
      <c r="T520" s="411" t="s">
        <v>5416</v>
      </c>
      <c r="U520" s="18" t="s">
        <v>2772</v>
      </c>
      <c r="V520" s="18" t="s">
        <v>5696</v>
      </c>
    </row>
    <row r="521" spans="1:22" ht="41.4" x14ac:dyDescent="0.3">
      <c r="A521" t="s">
        <v>245</v>
      </c>
      <c r="B521" s="254" t="s">
        <v>2427</v>
      </c>
      <c r="C521" s="546" t="s">
        <v>5586</v>
      </c>
      <c r="D521" s="535" t="s">
        <v>5453</v>
      </c>
      <c r="E521" s="557" t="s">
        <v>5596</v>
      </c>
      <c r="F521" s="268" t="s">
        <v>1462</v>
      </c>
      <c r="G521" s="558" t="s">
        <v>5515</v>
      </c>
      <c r="H521" s="535" t="s">
        <v>5514</v>
      </c>
      <c r="I521" s="535" t="s">
        <v>1462</v>
      </c>
      <c r="J521" s="535" t="s">
        <v>243</v>
      </c>
      <c r="K521" s="545">
        <v>150.4</v>
      </c>
      <c r="L521" s="268">
        <v>539</v>
      </c>
      <c r="M521" s="535">
        <v>6</v>
      </c>
      <c r="N521" s="535">
        <v>20</v>
      </c>
      <c r="O521" s="535" t="s">
        <v>5538</v>
      </c>
      <c r="P521" s="535" t="s">
        <v>5619</v>
      </c>
      <c r="Q521" s="535" t="s">
        <v>5706</v>
      </c>
      <c r="R521" s="535" t="s">
        <v>5732</v>
      </c>
      <c r="S521" s="254" t="s">
        <v>5381</v>
      </c>
      <c r="T521" s="540" t="s">
        <v>5719</v>
      </c>
      <c r="U521" s="282" t="s">
        <v>5733</v>
      </c>
      <c r="V521" s="282" t="s">
        <v>5500</v>
      </c>
    </row>
    <row r="522" spans="1:22" ht="28.8" x14ac:dyDescent="0.3">
      <c r="A522" t="s">
        <v>38</v>
      </c>
      <c r="B522" s="27" t="s">
        <v>3405</v>
      </c>
      <c r="C522" t="s">
        <v>5511</v>
      </c>
      <c r="D522" s="2" t="s">
        <v>5288</v>
      </c>
      <c r="E522" s="2" t="s">
        <v>5492</v>
      </c>
      <c r="F522" s="2" t="s">
        <v>1462</v>
      </c>
      <c r="G522" s="532">
        <v>262858447</v>
      </c>
      <c r="H522" s="2" t="s">
        <v>5403</v>
      </c>
      <c r="I522" s="2" t="s">
        <v>1462</v>
      </c>
      <c r="J522" s="2" t="s">
        <v>2982</v>
      </c>
      <c r="K522" s="5">
        <v>152.36000000000001</v>
      </c>
      <c r="L522" s="2">
        <v>635</v>
      </c>
      <c r="M522" s="5" t="s">
        <v>5758</v>
      </c>
      <c r="N522" s="5">
        <v>20</v>
      </c>
      <c r="O522" s="2" t="s">
        <v>5378</v>
      </c>
      <c r="P522" s="2" t="s">
        <v>5752</v>
      </c>
      <c r="Q522" s="2" t="s">
        <v>5724</v>
      </c>
      <c r="R522" s="2" t="s">
        <v>5702</v>
      </c>
      <c r="S522" s="2" t="s">
        <v>5753</v>
      </c>
      <c r="T522" s="266" t="s">
        <v>5785</v>
      </c>
      <c r="U522" s="343" t="s">
        <v>5759</v>
      </c>
      <c r="V522" s="343" t="s">
        <v>5706</v>
      </c>
    </row>
    <row r="523" spans="1:22" ht="28.8" x14ac:dyDescent="0.3">
      <c r="A523" t="s">
        <v>38</v>
      </c>
      <c r="B523" s="27" t="s">
        <v>2864</v>
      </c>
      <c r="C523" s="2" t="s">
        <v>5454</v>
      </c>
      <c r="D523" s="2"/>
      <c r="E523" s="2" t="s">
        <v>5496</v>
      </c>
      <c r="F523" s="2" t="s">
        <v>1462</v>
      </c>
      <c r="G523" s="19">
        <v>262961294</v>
      </c>
      <c r="H523" s="2" t="s">
        <v>5497</v>
      </c>
      <c r="I523" s="2" t="s">
        <v>1462</v>
      </c>
      <c r="J523" s="2" t="s">
        <v>137</v>
      </c>
      <c r="K523" s="5">
        <v>137.5</v>
      </c>
      <c r="L523" s="2">
        <v>650</v>
      </c>
      <c r="M523" s="5">
        <v>5</v>
      </c>
      <c r="N523" s="5">
        <v>40</v>
      </c>
      <c r="O523" s="2" t="s">
        <v>5378</v>
      </c>
      <c r="P523" s="2" t="s">
        <v>5752</v>
      </c>
      <c r="Q523" s="2" t="s">
        <v>5735</v>
      </c>
      <c r="R523" s="2" t="s">
        <v>5709</v>
      </c>
      <c r="S523" s="27" t="s">
        <v>5611</v>
      </c>
      <c r="T523" s="266" t="s">
        <v>5498</v>
      </c>
      <c r="U523" s="18" t="s">
        <v>5761</v>
      </c>
      <c r="V523" s="18" t="s">
        <v>5706</v>
      </c>
    </row>
    <row r="524" spans="1:22" ht="27.6" x14ac:dyDescent="0.3">
      <c r="A524" t="s">
        <v>344</v>
      </c>
      <c r="B524" s="536" t="s">
        <v>5166</v>
      </c>
      <c r="C524" s="541" t="s">
        <v>5305</v>
      </c>
      <c r="D524" s="535" t="s">
        <v>5203</v>
      </c>
      <c r="E524" s="259" t="s">
        <v>5307</v>
      </c>
      <c r="F524" s="535" t="s">
        <v>1462</v>
      </c>
      <c r="G524" s="259" t="s">
        <v>5319</v>
      </c>
      <c r="H524" s="535" t="s">
        <v>5311</v>
      </c>
      <c r="I524" s="535" t="s">
        <v>1462</v>
      </c>
      <c r="J524" s="7" t="s">
        <v>106</v>
      </c>
      <c r="K524" s="537">
        <v>119.19</v>
      </c>
      <c r="L524" s="542">
        <v>595</v>
      </c>
      <c r="M524" s="535">
        <v>5</v>
      </c>
      <c r="N524" s="535">
        <v>20</v>
      </c>
      <c r="O524" s="539" t="s">
        <v>5372</v>
      </c>
      <c r="P524" s="254" t="s">
        <v>5631</v>
      </c>
      <c r="Q524" s="535" t="s">
        <v>5724</v>
      </c>
      <c r="R524" s="535" t="s">
        <v>28</v>
      </c>
      <c r="S524" s="535" t="s">
        <v>60</v>
      </c>
      <c r="T524" s="540" t="s">
        <v>5714</v>
      </c>
      <c r="U524" s="282" t="s">
        <v>3143</v>
      </c>
      <c r="V524" s="282" t="s">
        <v>5700</v>
      </c>
    </row>
    <row r="525" spans="1:22" ht="41.4" x14ac:dyDescent="0.3">
      <c r="A525" t="s">
        <v>344</v>
      </c>
      <c r="B525" s="254" t="s">
        <v>2427</v>
      </c>
      <c r="C525" s="551" t="s">
        <v>5574</v>
      </c>
      <c r="D525" s="535" t="s">
        <v>5575</v>
      </c>
      <c r="E525" s="268" t="s">
        <v>5593</v>
      </c>
      <c r="F525" s="268" t="s">
        <v>1462</v>
      </c>
      <c r="G525" s="553" t="s">
        <v>5576</v>
      </c>
      <c r="H525" s="535" t="s">
        <v>5403</v>
      </c>
      <c r="I525" s="535" t="s">
        <v>1462</v>
      </c>
      <c r="J525" s="535" t="s">
        <v>3181</v>
      </c>
      <c r="K525" s="545" t="s">
        <v>5585</v>
      </c>
      <c r="L525" s="254">
        <v>510</v>
      </c>
      <c r="M525" s="535">
        <v>6</v>
      </c>
      <c r="N525" s="535">
        <v>20</v>
      </c>
      <c r="O525" s="535" t="s">
        <v>5536</v>
      </c>
      <c r="P525" s="535" t="s">
        <v>5752</v>
      </c>
      <c r="Q525" s="535" t="s">
        <v>5624</v>
      </c>
      <c r="R525" s="535" t="s">
        <v>28</v>
      </c>
      <c r="S525" s="535" t="s">
        <v>5577</v>
      </c>
      <c r="T525" s="540" t="s">
        <v>5636</v>
      </c>
      <c r="U525" s="282" t="s">
        <v>55</v>
      </c>
      <c r="V525" s="282" t="s">
        <v>5700</v>
      </c>
    </row>
    <row r="526" spans="1:22" ht="43.2" x14ac:dyDescent="0.3">
      <c r="A526" t="s">
        <v>38</v>
      </c>
      <c r="B526" s="27" t="s">
        <v>5530</v>
      </c>
      <c r="C526" s="2" t="s">
        <v>5531</v>
      </c>
      <c r="D526" s="2" t="s">
        <v>5403</v>
      </c>
      <c r="E526" s="2" t="s">
        <v>5532</v>
      </c>
      <c r="F526" s="2" t="s">
        <v>1462</v>
      </c>
      <c r="G526" s="25" t="s">
        <v>5533</v>
      </c>
      <c r="H526" s="2" t="s">
        <v>5368</v>
      </c>
      <c r="I526" s="2" t="s">
        <v>1462</v>
      </c>
      <c r="J526" s="2" t="s">
        <v>5534</v>
      </c>
      <c r="K526" s="5">
        <v>315.60000000000002</v>
      </c>
      <c r="L526" s="2">
        <v>642</v>
      </c>
      <c r="M526" s="5">
        <v>15</v>
      </c>
      <c r="N526" s="5">
        <v>20</v>
      </c>
      <c r="O526" s="2" t="s">
        <v>5609</v>
      </c>
      <c r="P526" s="2" t="s">
        <v>5752</v>
      </c>
      <c r="Q526" s="2" t="s">
        <v>5624</v>
      </c>
      <c r="R526" s="2" t="s">
        <v>5730</v>
      </c>
      <c r="S526" s="2" t="s">
        <v>38</v>
      </c>
      <c r="T526" s="174" t="s">
        <v>5705</v>
      </c>
      <c r="U526" s="343" t="s">
        <v>5788</v>
      </c>
      <c r="V526" s="343" t="s">
        <v>5789</v>
      </c>
    </row>
    <row r="527" spans="1:22" ht="43.2" x14ac:dyDescent="0.3">
      <c r="A527" t="s">
        <v>55</v>
      </c>
      <c r="B527" s="27" t="s">
        <v>2427</v>
      </c>
      <c r="C527" s="2" t="s">
        <v>5434</v>
      </c>
      <c r="D527" s="2" t="s">
        <v>5185</v>
      </c>
      <c r="E527" s="2" t="s">
        <v>5435</v>
      </c>
      <c r="F527" s="2" t="s">
        <v>1462</v>
      </c>
      <c r="G527" s="443">
        <v>264267659</v>
      </c>
      <c r="H527" s="2" t="s">
        <v>5436</v>
      </c>
      <c r="I527" s="2" t="s">
        <v>1462</v>
      </c>
      <c r="J527" s="2" t="s">
        <v>137</v>
      </c>
      <c r="K527" s="5">
        <v>251.64</v>
      </c>
      <c r="L527" s="2">
        <v>645</v>
      </c>
      <c r="M527" s="5">
        <v>12</v>
      </c>
      <c r="N527" s="5">
        <v>20</v>
      </c>
      <c r="O527" s="2" t="s">
        <v>5378</v>
      </c>
      <c r="P527" s="2" t="s">
        <v>5631</v>
      </c>
      <c r="Q527" s="2" t="s">
        <v>5778</v>
      </c>
      <c r="R527" s="2" t="s">
        <v>5713</v>
      </c>
      <c r="S527" s="27" t="s">
        <v>5634</v>
      </c>
      <c r="T527" s="411" t="s">
        <v>5438</v>
      </c>
      <c r="U527" s="343" t="s">
        <v>5806</v>
      </c>
      <c r="V527" s="343" t="s">
        <v>5807</v>
      </c>
    </row>
    <row r="528" spans="1:22" ht="41.4" x14ac:dyDescent="0.3">
      <c r="A528" t="s">
        <v>344</v>
      </c>
      <c r="B528" s="254" t="s">
        <v>2864</v>
      </c>
      <c r="C528" s="535" t="s">
        <v>5397</v>
      </c>
      <c r="D528" s="535"/>
      <c r="E528" s="268" t="s">
        <v>5449</v>
      </c>
      <c r="F528" s="268" t="s">
        <v>1462</v>
      </c>
      <c r="G528" s="268" t="s">
        <v>5747</v>
      </c>
      <c r="H528" s="535" t="s">
        <v>5451</v>
      </c>
      <c r="I528" s="535" t="s">
        <v>1462</v>
      </c>
      <c r="J528" s="535" t="s">
        <v>3157</v>
      </c>
      <c r="K528" s="545">
        <v>116.54</v>
      </c>
      <c r="L528" s="535">
        <v>535</v>
      </c>
      <c r="M528" s="545">
        <v>5</v>
      </c>
      <c r="N528" s="545">
        <v>20</v>
      </c>
      <c r="O528" s="535" t="s">
        <v>5536</v>
      </c>
      <c r="P528" s="268" t="s">
        <v>5777</v>
      </c>
      <c r="Q528" s="535" t="s">
        <v>5616</v>
      </c>
      <c r="R528" s="535" t="s">
        <v>5787</v>
      </c>
      <c r="S528" s="535" t="s">
        <v>60</v>
      </c>
      <c r="T528" s="268" t="s">
        <v>5736</v>
      </c>
      <c r="U528" s="282" t="s">
        <v>3143</v>
      </c>
      <c r="V528" s="282" t="s">
        <v>5782</v>
      </c>
    </row>
    <row r="529" spans="1:22" ht="55.2" x14ac:dyDescent="0.3">
      <c r="A529" t="s">
        <v>60</v>
      </c>
      <c r="B529" s="254" t="s">
        <v>5590</v>
      </c>
      <c r="C529" s="535" t="s">
        <v>1270</v>
      </c>
      <c r="D529" s="535"/>
      <c r="E529" s="268" t="s">
        <v>5591</v>
      </c>
      <c r="F529" s="268" t="s">
        <v>1232</v>
      </c>
      <c r="G529" s="124">
        <v>265049788</v>
      </c>
      <c r="H529" s="535" t="s">
        <v>5359</v>
      </c>
      <c r="I529" s="535" t="s">
        <v>1232</v>
      </c>
      <c r="J529" s="535" t="s">
        <v>5592</v>
      </c>
      <c r="K529" s="545">
        <v>27</v>
      </c>
      <c r="L529" s="535">
        <v>660</v>
      </c>
      <c r="M529" s="535">
        <v>1</v>
      </c>
      <c r="N529" s="535">
        <v>40</v>
      </c>
      <c r="O529" s="535" t="s">
        <v>5447</v>
      </c>
      <c r="P529" s="535" t="s">
        <v>5780</v>
      </c>
      <c r="Q529" s="535" t="s">
        <v>5744</v>
      </c>
      <c r="R529" s="535" t="s">
        <v>5757</v>
      </c>
      <c r="S529" s="535"/>
      <c r="T529" s="535"/>
      <c r="U529" s="282" t="s">
        <v>2772</v>
      </c>
      <c r="V529" s="282" t="s">
        <v>5697</v>
      </c>
    </row>
    <row r="530" spans="1:22" ht="28.8" x14ac:dyDescent="0.3">
      <c r="A530" t="s">
        <v>38</v>
      </c>
      <c r="B530" s="27" t="s">
        <v>3405</v>
      </c>
      <c r="C530" t="s">
        <v>5511</v>
      </c>
      <c r="D530" s="2" t="s">
        <v>5288</v>
      </c>
      <c r="E530" s="2" t="s">
        <v>5492</v>
      </c>
      <c r="F530" s="2" t="s">
        <v>1462</v>
      </c>
      <c r="G530" s="532">
        <v>262858447</v>
      </c>
      <c r="H530" s="2" t="s">
        <v>5403</v>
      </c>
      <c r="I530" s="2" t="s">
        <v>1462</v>
      </c>
      <c r="J530" s="2" t="s">
        <v>2982</v>
      </c>
      <c r="K530" s="5">
        <v>21.76</v>
      </c>
      <c r="L530" s="2">
        <v>635</v>
      </c>
      <c r="M530" s="5">
        <v>1</v>
      </c>
      <c r="N530" s="5">
        <v>20</v>
      </c>
      <c r="O530" s="2" t="s">
        <v>5378</v>
      </c>
      <c r="P530" s="2" t="s">
        <v>5738</v>
      </c>
      <c r="Q530" s="2" t="s">
        <v>5815</v>
      </c>
      <c r="R530" s="2" t="s">
        <v>5702</v>
      </c>
      <c r="S530" s="2" t="s">
        <v>5753</v>
      </c>
      <c r="T530" s="266" t="s">
        <v>5760</v>
      </c>
      <c r="U530" s="343" t="s">
        <v>2772</v>
      </c>
      <c r="V530" s="343" t="s">
        <v>5724</v>
      </c>
    </row>
    <row r="531" spans="1:22" ht="43.2" x14ac:dyDescent="0.3">
      <c r="A531" t="s">
        <v>38</v>
      </c>
      <c r="B531" s="27" t="s">
        <v>3405</v>
      </c>
      <c r="C531" t="s">
        <v>5511</v>
      </c>
      <c r="D531" s="2" t="s">
        <v>5288</v>
      </c>
      <c r="E531" s="2" t="s">
        <v>5446</v>
      </c>
      <c r="F531" s="2" t="s">
        <v>1462</v>
      </c>
      <c r="G531" s="561">
        <v>262858374</v>
      </c>
      <c r="H531" s="2" t="s">
        <v>5383</v>
      </c>
      <c r="I531" s="2" t="s">
        <v>1462</v>
      </c>
      <c r="J531" s="2" t="s">
        <v>2982</v>
      </c>
      <c r="K531" s="5" t="s">
        <v>5448</v>
      </c>
      <c r="L531" s="2">
        <v>635</v>
      </c>
      <c r="M531" s="5">
        <v>8</v>
      </c>
      <c r="N531" s="5">
        <v>20</v>
      </c>
      <c r="O531" s="2" t="s">
        <v>5447</v>
      </c>
      <c r="P531" s="2" t="s">
        <v>5738</v>
      </c>
      <c r="Q531" s="2" t="s">
        <v>5815</v>
      </c>
      <c r="R531" s="2" t="s">
        <v>5713</v>
      </c>
      <c r="S531" s="2" t="s">
        <v>38</v>
      </c>
      <c r="T531" s="174" t="s">
        <v>5734</v>
      </c>
      <c r="U531" s="343" t="s">
        <v>5822</v>
      </c>
      <c r="V531" s="343" t="s">
        <v>5821</v>
      </c>
    </row>
    <row r="532" spans="1:22" ht="28.8" x14ac:dyDescent="0.3">
      <c r="A532" t="s">
        <v>38</v>
      </c>
      <c r="B532" s="27" t="s">
        <v>2864</v>
      </c>
      <c r="C532" s="2" t="s">
        <v>5454</v>
      </c>
      <c r="D532" s="2"/>
      <c r="E532" s="2" t="s">
        <v>5520</v>
      </c>
      <c r="F532" s="2" t="s">
        <v>1462</v>
      </c>
      <c r="G532" s="4">
        <v>263178804</v>
      </c>
      <c r="H532" s="2" t="s">
        <v>5478</v>
      </c>
      <c r="I532" s="2" t="s">
        <v>1462</v>
      </c>
      <c r="J532" s="2" t="s">
        <v>137</v>
      </c>
      <c r="K532" s="5">
        <v>137.54</v>
      </c>
      <c r="L532" s="2">
        <v>650</v>
      </c>
      <c r="M532" s="5">
        <v>5</v>
      </c>
      <c r="N532" s="5">
        <v>40</v>
      </c>
      <c r="O532" s="2" t="s">
        <v>5447</v>
      </c>
      <c r="P532" s="2" t="s">
        <v>5780</v>
      </c>
      <c r="Q532" s="2" t="s">
        <v>5817</v>
      </c>
      <c r="R532" s="2" t="s">
        <v>5810</v>
      </c>
      <c r="S532" s="2" t="s">
        <v>5611</v>
      </c>
      <c r="T532" s="174" t="s">
        <v>5801</v>
      </c>
      <c r="U532" s="18" t="s">
        <v>5761</v>
      </c>
      <c r="V532" s="18" t="s">
        <v>5724</v>
      </c>
    </row>
    <row r="533" spans="1:22" ht="57.6" x14ac:dyDescent="0.3">
      <c r="A533" t="s">
        <v>55</v>
      </c>
      <c r="B533" s="27" t="s">
        <v>3126</v>
      </c>
      <c r="C533" s="2" t="s">
        <v>5454</v>
      </c>
      <c r="D533" s="2"/>
      <c r="E533" s="2" t="s">
        <v>5455</v>
      </c>
      <c r="F533" s="2" t="s">
        <v>1232</v>
      </c>
      <c r="G533" s="25" t="s">
        <v>5456</v>
      </c>
      <c r="H533" s="2" t="s">
        <v>5395</v>
      </c>
      <c r="I533" s="2" t="s">
        <v>1232</v>
      </c>
      <c r="J533" s="266" t="s">
        <v>5457</v>
      </c>
      <c r="K533" s="518" t="s">
        <v>5458</v>
      </c>
      <c r="L533" s="266" t="s">
        <v>5459</v>
      </c>
      <c r="M533" s="5">
        <v>2</v>
      </c>
      <c r="N533" s="5">
        <v>40</v>
      </c>
      <c r="O533" s="2" t="s">
        <v>5635</v>
      </c>
      <c r="P533" s="2" t="s">
        <v>5706</v>
      </c>
      <c r="Q533" s="266" t="s">
        <v>5823</v>
      </c>
      <c r="R533" s="2" t="s">
        <v>5584</v>
      </c>
      <c r="S533" s="2"/>
      <c r="T533" s="2"/>
      <c r="U533" t="s">
        <v>55</v>
      </c>
      <c r="V533" t="s">
        <v>5735</v>
      </c>
    </row>
    <row r="534" spans="1:22" ht="41.4" x14ac:dyDescent="0.3">
      <c r="A534" t="s">
        <v>344</v>
      </c>
      <c r="B534" s="254" t="s">
        <v>2864</v>
      </c>
      <c r="C534" s="535" t="s">
        <v>5397</v>
      </c>
      <c r="D534" s="535"/>
      <c r="E534" s="268" t="s">
        <v>5475</v>
      </c>
      <c r="F534" s="268" t="s">
        <v>1462</v>
      </c>
      <c r="G534" s="268" t="s">
        <v>5476</v>
      </c>
      <c r="H534" s="535" t="s">
        <v>5494</v>
      </c>
      <c r="I534" s="535" t="s">
        <v>1462</v>
      </c>
      <c r="J534" s="535" t="s">
        <v>3157</v>
      </c>
      <c r="K534" s="545">
        <v>70.959999999999994</v>
      </c>
      <c r="L534" s="535">
        <v>545</v>
      </c>
      <c r="M534" s="535">
        <v>3</v>
      </c>
      <c r="N534" s="535">
        <v>20</v>
      </c>
      <c r="O534" s="535" t="s">
        <v>5635</v>
      </c>
      <c r="P534" s="535" t="s">
        <v>5777</v>
      </c>
      <c r="Q534" s="535" t="s">
        <v>5616</v>
      </c>
      <c r="R534" s="535" t="s">
        <v>28</v>
      </c>
      <c r="S534" s="535" t="s">
        <v>60</v>
      </c>
      <c r="T534" s="565" t="s">
        <v>5477</v>
      </c>
      <c r="U534" s="282" t="s">
        <v>2772</v>
      </c>
      <c r="V534" s="282" t="s">
        <v>5616</v>
      </c>
    </row>
    <row r="535" spans="1:22" ht="43.2" x14ac:dyDescent="0.3">
      <c r="A535" t="s">
        <v>38</v>
      </c>
      <c r="B535" s="27" t="s">
        <v>5580</v>
      </c>
      <c r="C535" s="2" t="s">
        <v>5581</v>
      </c>
      <c r="D535" s="2" t="s">
        <v>5502</v>
      </c>
      <c r="E535" s="2" t="s">
        <v>5582</v>
      </c>
      <c r="F535" s="2" t="s">
        <v>1232</v>
      </c>
      <c r="G535" s="2" t="s">
        <v>5740</v>
      </c>
      <c r="H535" s="2" t="s">
        <v>5421</v>
      </c>
      <c r="I535" s="2" t="s">
        <v>1232</v>
      </c>
      <c r="J535" s="2" t="s">
        <v>1311</v>
      </c>
      <c r="K535" s="5">
        <v>10</v>
      </c>
      <c r="L535" s="2">
        <v>2000</v>
      </c>
      <c r="M535" s="5">
        <v>1</v>
      </c>
      <c r="N535" s="5">
        <v>20</v>
      </c>
      <c r="O535" s="2" t="s">
        <v>5612</v>
      </c>
      <c r="P535" s="2" t="s">
        <v>5738</v>
      </c>
      <c r="Q535" s="2" t="s">
        <v>5811</v>
      </c>
      <c r="R535" s="2" t="s">
        <v>5713</v>
      </c>
      <c r="S535" s="252" t="s">
        <v>5820</v>
      </c>
      <c r="T535" s="252"/>
      <c r="U535" t="s">
        <v>38</v>
      </c>
      <c r="V535" t="s">
        <v>3204</v>
      </c>
    </row>
    <row r="536" spans="1:22" ht="72" x14ac:dyDescent="0.3">
      <c r="A536" t="s">
        <v>55</v>
      </c>
      <c r="B536" s="27" t="s">
        <v>3241</v>
      </c>
      <c r="C536" s="2" t="s">
        <v>5656</v>
      </c>
      <c r="D536" s="2" t="s">
        <v>5497</v>
      </c>
      <c r="E536" s="2" t="s">
        <v>5657</v>
      </c>
      <c r="F536" s="2" t="s">
        <v>1232</v>
      </c>
      <c r="G536" s="19">
        <v>265502646</v>
      </c>
      <c r="H536" s="2" t="s">
        <v>5529</v>
      </c>
      <c r="I536" s="2" t="s">
        <v>1232</v>
      </c>
      <c r="J536" s="266" t="s">
        <v>5846</v>
      </c>
      <c r="K536" s="518" t="s">
        <v>5658</v>
      </c>
      <c r="L536" s="244" t="s">
        <v>5659</v>
      </c>
      <c r="M536" s="5">
        <v>1</v>
      </c>
      <c r="N536" s="5">
        <v>20</v>
      </c>
      <c r="O536" s="2" t="s">
        <v>5479</v>
      </c>
      <c r="P536" s="2" t="s">
        <v>5816</v>
      </c>
      <c r="Q536" s="2" t="s">
        <v>5817</v>
      </c>
      <c r="R536" s="2" t="s">
        <v>5779</v>
      </c>
      <c r="S536" s="2"/>
      <c r="T536" s="2"/>
      <c r="U536" t="s">
        <v>55</v>
      </c>
      <c r="V536" t="s">
        <v>5811</v>
      </c>
    </row>
    <row r="537" spans="1:22" ht="57.6" x14ac:dyDescent="0.3">
      <c r="A537" t="s">
        <v>55</v>
      </c>
      <c r="B537" s="261" t="s">
        <v>5486</v>
      </c>
      <c r="C537" s="2" t="s">
        <v>5541</v>
      </c>
      <c r="D537" s="252" t="s">
        <v>5453</v>
      </c>
      <c r="E537" s="392" t="s">
        <v>5542</v>
      </c>
      <c r="F537" s="252" t="s">
        <v>1232</v>
      </c>
      <c r="G537" s="251">
        <v>265539832</v>
      </c>
      <c r="H537" s="252" t="s">
        <v>5669</v>
      </c>
      <c r="I537" s="252" t="s">
        <v>1232</v>
      </c>
      <c r="J537" s="252" t="s">
        <v>102</v>
      </c>
      <c r="K537" s="283">
        <v>27</v>
      </c>
      <c r="L537" s="252">
        <v>940</v>
      </c>
      <c r="M537" s="283">
        <v>1</v>
      </c>
      <c r="N537" s="283">
        <v>40</v>
      </c>
      <c r="O537" s="252" t="s">
        <v>5691</v>
      </c>
      <c r="P537" s="252" t="s">
        <v>5770</v>
      </c>
      <c r="Q537" s="252" t="s">
        <v>5845</v>
      </c>
      <c r="R537" s="252" t="s">
        <v>5757</v>
      </c>
      <c r="S537" s="2"/>
      <c r="T537" s="2"/>
      <c r="U537" t="s">
        <v>55</v>
      </c>
      <c r="V537" t="s">
        <v>5578</v>
      </c>
    </row>
    <row r="538" spans="1:22" ht="41.4" x14ac:dyDescent="0.3">
      <c r="A538" t="s">
        <v>60</v>
      </c>
      <c r="B538" s="254" t="s">
        <v>2427</v>
      </c>
      <c r="C538" s="259" t="s">
        <v>5548</v>
      </c>
      <c r="D538" s="535" t="s">
        <v>5361</v>
      </c>
      <c r="E538" s="16" t="s">
        <v>5549</v>
      </c>
      <c r="F538" s="268" t="s">
        <v>1462</v>
      </c>
      <c r="G538" s="16" t="s">
        <v>5550</v>
      </c>
      <c r="H538" s="535" t="s">
        <v>5551</v>
      </c>
      <c r="I538" s="535" t="s">
        <v>1462</v>
      </c>
      <c r="J538" s="535" t="s">
        <v>3181</v>
      </c>
      <c r="K538" s="545">
        <v>124.56</v>
      </c>
      <c r="L538" s="268">
        <v>545</v>
      </c>
      <c r="M538" s="535">
        <v>5</v>
      </c>
      <c r="N538" s="535">
        <v>20</v>
      </c>
      <c r="O538" s="535" t="s">
        <v>5346</v>
      </c>
      <c r="P538" s="535" t="s">
        <v>5697</v>
      </c>
      <c r="Q538" s="535" t="s">
        <v>5578</v>
      </c>
      <c r="R538" s="535" t="s">
        <v>5781</v>
      </c>
      <c r="S538" s="535" t="s">
        <v>5579</v>
      </c>
      <c r="T538" s="268" t="s">
        <v>5703</v>
      </c>
      <c r="U538" s="282" t="s">
        <v>2772</v>
      </c>
      <c r="V538" s="282" t="s">
        <v>5811</v>
      </c>
    </row>
    <row r="539" spans="1:22" ht="55.2" x14ac:dyDescent="0.3">
      <c r="A539" t="s">
        <v>60</v>
      </c>
      <c r="B539" s="254" t="s">
        <v>5486</v>
      </c>
      <c r="C539" s="535" t="s">
        <v>5799</v>
      </c>
      <c r="D539" s="535"/>
      <c r="E539" s="554" t="s">
        <v>5487</v>
      </c>
      <c r="F539" s="268" t="s">
        <v>1232</v>
      </c>
      <c r="G539" s="555">
        <v>265539700</v>
      </c>
      <c r="H539" s="535" t="s">
        <v>5536</v>
      </c>
      <c r="I539" s="535" t="s">
        <v>1232</v>
      </c>
      <c r="J539" s="535" t="s">
        <v>1234</v>
      </c>
      <c r="K539" s="545">
        <v>27</v>
      </c>
      <c r="L539" s="535">
        <v>1070</v>
      </c>
      <c r="M539" s="535">
        <v>1</v>
      </c>
      <c r="N539" s="535">
        <v>40</v>
      </c>
      <c r="O539" s="535" t="s">
        <v>5691</v>
      </c>
      <c r="P539" s="535" t="s">
        <v>5616</v>
      </c>
      <c r="Q539" s="535" t="s">
        <v>5845</v>
      </c>
      <c r="R539" s="535" t="s">
        <v>5818</v>
      </c>
      <c r="S539" s="535" t="s">
        <v>5819</v>
      </c>
      <c r="T539" s="535" t="s">
        <v>5800</v>
      </c>
      <c r="U539" s="282" t="s">
        <v>2772</v>
      </c>
      <c r="V539" s="282" t="s">
        <v>5817</v>
      </c>
    </row>
    <row r="540" spans="1:22" ht="86.4" x14ac:dyDescent="0.3">
      <c r="A540" t="s">
        <v>38</v>
      </c>
      <c r="B540" s="27" t="s">
        <v>5460</v>
      </c>
      <c r="C540" s="2" t="s">
        <v>5461</v>
      </c>
      <c r="D540" s="2" t="s">
        <v>5297</v>
      </c>
      <c r="E540" s="2" t="s">
        <v>5462</v>
      </c>
      <c r="F540" s="2" t="s">
        <v>5463</v>
      </c>
      <c r="G540" s="2" t="s">
        <v>5464</v>
      </c>
      <c r="H540" s="2" t="s">
        <v>5465</v>
      </c>
      <c r="I540" s="2" t="s">
        <v>1640</v>
      </c>
      <c r="J540" s="266" t="s">
        <v>3492</v>
      </c>
      <c r="K540" s="518" t="s">
        <v>5466</v>
      </c>
      <c r="L540" s="266" t="s">
        <v>5467</v>
      </c>
      <c r="M540" s="5">
        <v>1</v>
      </c>
      <c r="N540" s="5">
        <v>20</v>
      </c>
      <c r="O540" s="2" t="s">
        <v>5431</v>
      </c>
      <c r="P540" s="2" t="s">
        <v>5811</v>
      </c>
      <c r="Q540" s="2" t="s">
        <v>5650</v>
      </c>
      <c r="R540" s="2" t="s">
        <v>5468</v>
      </c>
      <c r="S540" s="2"/>
      <c r="T540" s="2"/>
      <c r="U540" t="s">
        <v>38</v>
      </c>
      <c r="V540" t="s">
        <v>5859</v>
      </c>
    </row>
    <row r="541" spans="1:22" ht="86.4" x14ac:dyDescent="0.3">
      <c r="A541" t="s">
        <v>38</v>
      </c>
      <c r="B541" s="27" t="s">
        <v>3532</v>
      </c>
      <c r="C541" s="2" t="s">
        <v>5554</v>
      </c>
      <c r="D541" s="2" t="s">
        <v>5478</v>
      </c>
      <c r="E541" s="2" t="s">
        <v>5555</v>
      </c>
      <c r="F541" s="2" t="s">
        <v>1462</v>
      </c>
      <c r="G541" s="2" t="s">
        <v>5556</v>
      </c>
      <c r="H541" s="2" t="s">
        <v>5403</v>
      </c>
      <c r="I541" s="2" t="s">
        <v>1462</v>
      </c>
      <c r="J541" s="2" t="s">
        <v>2982</v>
      </c>
      <c r="K541" s="5">
        <v>313.49</v>
      </c>
      <c r="L541" s="2">
        <v>635</v>
      </c>
      <c r="M541" s="5">
        <v>14</v>
      </c>
      <c r="N541" s="5">
        <v>20</v>
      </c>
      <c r="O541" s="2" t="s">
        <v>5739</v>
      </c>
      <c r="P541" s="2" t="s">
        <v>5770</v>
      </c>
      <c r="Q541" s="2" t="s">
        <v>5852</v>
      </c>
      <c r="R541" s="2" t="s">
        <v>5651</v>
      </c>
      <c r="S541" s="2"/>
      <c r="T541" s="174" t="s">
        <v>5737</v>
      </c>
      <c r="U541" s="343" t="s">
        <v>5873</v>
      </c>
      <c r="V541" s="343" t="s">
        <v>5874</v>
      </c>
    </row>
    <row r="542" spans="1:22" ht="72" x14ac:dyDescent="0.3">
      <c r="A542" t="s">
        <v>38</v>
      </c>
      <c r="B542" s="27" t="s">
        <v>5425</v>
      </c>
      <c r="C542" s="2" t="s">
        <v>5469</v>
      </c>
      <c r="D542" s="2" t="s">
        <v>5203</v>
      </c>
      <c r="E542" s="2" t="s">
        <v>5470</v>
      </c>
      <c r="F542" s="2" t="s">
        <v>1904</v>
      </c>
      <c r="G542" s="4">
        <v>263005783</v>
      </c>
      <c r="H542" s="2" t="s">
        <v>5436</v>
      </c>
      <c r="I542" s="2" t="s">
        <v>1904</v>
      </c>
      <c r="J542" s="2" t="s">
        <v>5471</v>
      </c>
      <c r="K542" s="5">
        <v>519.03899999999999</v>
      </c>
      <c r="L542" s="2">
        <v>500</v>
      </c>
      <c r="M542" s="5" t="s">
        <v>5871</v>
      </c>
      <c r="N542" s="5">
        <v>20</v>
      </c>
      <c r="O542" s="2" t="s">
        <v>5652</v>
      </c>
      <c r="P542" s="2" t="s">
        <v>5859</v>
      </c>
      <c r="Q542" s="2" t="s">
        <v>5741</v>
      </c>
      <c r="R542" s="2" t="s">
        <v>5528</v>
      </c>
      <c r="S542" s="567" t="s">
        <v>5872</v>
      </c>
      <c r="T542" s="411" t="s">
        <v>5484</v>
      </c>
      <c r="U542" s="343" t="s">
        <v>5891</v>
      </c>
      <c r="V542" s="343" t="s">
        <v>5890</v>
      </c>
    </row>
    <row r="543" spans="1:22" ht="100.8" x14ac:dyDescent="0.3">
      <c r="A543" t="s">
        <v>38</v>
      </c>
      <c r="B543" s="27" t="s">
        <v>2427</v>
      </c>
      <c r="C543" s="2" t="s">
        <v>5671</v>
      </c>
      <c r="D543" s="2" t="s">
        <v>5437</v>
      </c>
      <c r="E543" s="2" t="s">
        <v>5672</v>
      </c>
      <c r="F543" s="2" t="s">
        <v>1462</v>
      </c>
      <c r="G543" s="19">
        <v>263404200</v>
      </c>
      <c r="H543" s="2" t="s">
        <v>5437</v>
      </c>
      <c r="I543" s="2" t="s">
        <v>1462</v>
      </c>
      <c r="J543" s="2" t="s">
        <v>977</v>
      </c>
      <c r="K543" s="5">
        <v>311.58</v>
      </c>
      <c r="L543" s="44">
        <v>650</v>
      </c>
      <c r="M543" s="5">
        <v>15</v>
      </c>
      <c r="N543" s="5">
        <v>20</v>
      </c>
      <c r="O543" s="2" t="s">
        <v>5715</v>
      </c>
      <c r="P543" s="2" t="s">
        <v>5817</v>
      </c>
      <c r="Q543" s="2" t="s">
        <v>5857</v>
      </c>
      <c r="R543" s="2" t="s">
        <v>5843</v>
      </c>
      <c r="S543" s="2"/>
      <c r="T543" s="266" t="s">
        <v>5673</v>
      </c>
      <c r="U543" s="313" t="s">
        <v>5906</v>
      </c>
      <c r="V543" s="313" t="s">
        <v>5907</v>
      </c>
    </row>
    <row r="544" spans="1:22" ht="28.8" x14ac:dyDescent="0.3">
      <c r="A544" t="s">
        <v>38</v>
      </c>
      <c r="B544" s="27" t="s">
        <v>5425</v>
      </c>
      <c r="C544" s="2" t="s">
        <v>5426</v>
      </c>
      <c r="D544" s="2" t="s">
        <v>5159</v>
      </c>
      <c r="E544" s="2" t="s">
        <v>5427</v>
      </c>
      <c r="F544" s="2" t="s">
        <v>1904</v>
      </c>
      <c r="G544" s="4">
        <v>263009314</v>
      </c>
      <c r="H544" s="2" t="s">
        <v>5428</v>
      </c>
      <c r="I544" s="2" t="s">
        <v>1904</v>
      </c>
      <c r="J544" s="2" t="s">
        <v>5429</v>
      </c>
      <c r="K544" s="2">
        <v>175.70400000000001</v>
      </c>
      <c r="L544" s="2">
        <v>502</v>
      </c>
      <c r="M544" s="5">
        <v>8</v>
      </c>
      <c r="N544" s="5">
        <v>20</v>
      </c>
      <c r="O544" s="2" t="s">
        <v>5437</v>
      </c>
      <c r="P544" s="2" t="s">
        <v>5859</v>
      </c>
      <c r="Q544" s="2" t="s">
        <v>5741</v>
      </c>
      <c r="R544" s="2" t="s">
        <v>5583</v>
      </c>
      <c r="S544" s="2"/>
      <c r="T544" s="411" t="s">
        <v>5553</v>
      </c>
      <c r="U544" s="343" t="s">
        <v>5904</v>
      </c>
      <c r="V544" s="343" t="s">
        <v>5905</v>
      </c>
    </row>
    <row r="545" spans="1:22" ht="43.2" x14ac:dyDescent="0.3">
      <c r="A545" t="s">
        <v>38</v>
      </c>
      <c r="B545" s="27" t="s">
        <v>5356</v>
      </c>
      <c r="C545" s="2" t="s">
        <v>5440</v>
      </c>
      <c r="D545" s="2" t="s">
        <v>5391</v>
      </c>
      <c r="E545" s="19">
        <v>2374</v>
      </c>
      <c r="F545" s="2" t="s">
        <v>1904</v>
      </c>
      <c r="G545" s="4">
        <v>263519936</v>
      </c>
      <c r="H545" s="2" t="s">
        <v>5331</v>
      </c>
      <c r="I545" s="2" t="s">
        <v>1904</v>
      </c>
      <c r="J545" s="2" t="s">
        <v>5441</v>
      </c>
      <c r="K545" s="5">
        <v>517.827</v>
      </c>
      <c r="L545" s="2">
        <v>554</v>
      </c>
      <c r="M545" s="5">
        <v>20</v>
      </c>
      <c r="N545" s="5">
        <v>40</v>
      </c>
      <c r="O545" s="2" t="s">
        <v>5630</v>
      </c>
      <c r="P545" s="2" t="s">
        <v>5649</v>
      </c>
      <c r="Q545" s="2" t="s">
        <v>5875</v>
      </c>
      <c r="R545" s="2" t="s">
        <v>5573</v>
      </c>
      <c r="S545" s="2"/>
      <c r="T545" s="411" t="s">
        <v>5559</v>
      </c>
      <c r="U545" s="343" t="s">
        <v>5901</v>
      </c>
      <c r="V545" s="343" t="s">
        <v>5902</v>
      </c>
    </row>
    <row r="546" spans="1:22" ht="57.6" x14ac:dyDescent="0.3">
      <c r="A546" t="s">
        <v>287</v>
      </c>
      <c r="B546" s="254" t="s">
        <v>16</v>
      </c>
      <c r="C546" s="535" t="s">
        <v>5560</v>
      </c>
      <c r="D546" s="535" t="s">
        <v>5551</v>
      </c>
      <c r="E546" s="268" t="s">
        <v>5561</v>
      </c>
      <c r="F546" s="268" t="s">
        <v>20</v>
      </c>
      <c r="G546" s="268" t="s">
        <v>5562</v>
      </c>
      <c r="H546" s="535" t="s">
        <v>5563</v>
      </c>
      <c r="I546" s="535" t="s">
        <v>20</v>
      </c>
      <c r="J546" s="535" t="s">
        <v>24</v>
      </c>
      <c r="K546" s="545">
        <v>148.61000000000001</v>
      </c>
      <c r="L546" s="535">
        <v>883</v>
      </c>
      <c r="M546" s="545">
        <v>8</v>
      </c>
      <c r="N546" s="535">
        <v>20</v>
      </c>
      <c r="O546" s="535" t="s">
        <v>5610</v>
      </c>
      <c r="P546" s="535" t="s">
        <v>5897</v>
      </c>
      <c r="Q546" s="535" t="s">
        <v>5898</v>
      </c>
      <c r="R546" s="535" t="s">
        <v>5899</v>
      </c>
      <c r="S546" s="535"/>
      <c r="T546" s="535"/>
      <c r="U546" s="282" t="s">
        <v>5908</v>
      </c>
      <c r="V546" s="282" t="s">
        <v>5909</v>
      </c>
    </row>
    <row r="547" spans="1:22" ht="72" x14ac:dyDescent="0.3">
      <c r="A547" t="s">
        <v>38</v>
      </c>
      <c r="B547" s="27" t="s">
        <v>5425</v>
      </c>
      <c r="C547" s="2" t="s">
        <v>5426</v>
      </c>
      <c r="D547" s="2" t="s">
        <v>5159</v>
      </c>
      <c r="E547" s="2" t="s">
        <v>5427</v>
      </c>
      <c r="F547" s="2" t="s">
        <v>1904</v>
      </c>
      <c r="G547" s="4">
        <v>263918890</v>
      </c>
      <c r="H547" s="2" t="s">
        <v>5436</v>
      </c>
      <c r="I547" s="2" t="s">
        <v>1904</v>
      </c>
      <c r="J547" s="2" t="s">
        <v>5429</v>
      </c>
      <c r="K547" s="5">
        <v>307.77499999999998</v>
      </c>
      <c r="L547" s="2">
        <v>502</v>
      </c>
      <c r="M547" s="5">
        <v>14</v>
      </c>
      <c r="N547" s="5">
        <v>20</v>
      </c>
      <c r="O547" s="2" t="s">
        <v>5652</v>
      </c>
      <c r="P547" s="2" t="s">
        <v>5859</v>
      </c>
      <c r="Q547" s="2" t="s">
        <v>5741</v>
      </c>
      <c r="R547" s="2" t="s">
        <v>5709</v>
      </c>
      <c r="S547" s="2"/>
      <c r="T547" s="174" t="s">
        <v>5851</v>
      </c>
      <c r="U547" s="343" t="s">
        <v>5903</v>
      </c>
      <c r="V547" s="343" t="s">
        <v>5900</v>
      </c>
    </row>
    <row r="548" spans="1:22" ht="57.6" x14ac:dyDescent="0.3">
      <c r="A548" t="s">
        <v>38</v>
      </c>
      <c r="B548" s="27" t="s">
        <v>2864</v>
      </c>
      <c r="C548" s="2" t="s">
        <v>5628</v>
      </c>
      <c r="D548" s="2" t="s">
        <v>5626</v>
      </c>
      <c r="E548" s="2" t="s">
        <v>5629</v>
      </c>
      <c r="F548" s="2" t="s">
        <v>1462</v>
      </c>
      <c r="G548" s="19">
        <v>264249114</v>
      </c>
      <c r="H548" s="2" t="s">
        <v>5552</v>
      </c>
      <c r="I548" s="2" t="s">
        <v>1462</v>
      </c>
      <c r="J548" s="2" t="s">
        <v>137</v>
      </c>
      <c r="K548" s="5">
        <v>275.08</v>
      </c>
      <c r="L548" s="2">
        <v>652</v>
      </c>
      <c r="M548" s="5">
        <v>10</v>
      </c>
      <c r="N548" s="5">
        <v>40</v>
      </c>
      <c r="O548" s="2" t="s">
        <v>5698</v>
      </c>
      <c r="P548" s="2" t="s">
        <v>5845</v>
      </c>
      <c r="Q548" s="2" t="s">
        <v>5745</v>
      </c>
      <c r="R548" s="2" t="s">
        <v>5709</v>
      </c>
      <c r="S548" s="2"/>
      <c r="T548" s="266" t="s">
        <v>5687</v>
      </c>
      <c r="U548" s="315" t="s">
        <v>5915</v>
      </c>
      <c r="V548" s="315" t="s">
        <v>5916</v>
      </c>
    </row>
    <row r="549" spans="1:22" ht="55.2" x14ac:dyDescent="0.3">
      <c r="A549" t="s">
        <v>60</v>
      </c>
      <c r="B549" s="254" t="s">
        <v>5486</v>
      </c>
      <c r="C549" s="252" t="s">
        <v>5694</v>
      </c>
      <c r="D549" s="535" t="s">
        <v>5403</v>
      </c>
      <c r="E549" s="556" t="s">
        <v>5540</v>
      </c>
      <c r="F549" s="268" t="s">
        <v>1232</v>
      </c>
      <c r="G549" s="555">
        <v>266332190</v>
      </c>
      <c r="H549" s="535" t="s">
        <v>5612</v>
      </c>
      <c r="I549" s="535" t="s">
        <v>1232</v>
      </c>
      <c r="J549" s="535" t="s">
        <v>102</v>
      </c>
      <c r="K549" s="545">
        <v>27</v>
      </c>
      <c r="L549" s="535">
        <v>940</v>
      </c>
      <c r="M549" s="535">
        <v>1</v>
      </c>
      <c r="N549" s="535">
        <v>40</v>
      </c>
      <c r="O549" s="535" t="s">
        <v>5615</v>
      </c>
      <c r="P549" s="535" t="s">
        <v>5625</v>
      </c>
      <c r="Q549" s="535" t="s">
        <v>5856</v>
      </c>
      <c r="R549" s="535" t="s">
        <v>5868</v>
      </c>
      <c r="S549" s="535"/>
      <c r="T549" s="535"/>
      <c r="U549" s="282" t="s">
        <v>2772</v>
      </c>
      <c r="V549" s="282" t="s">
        <v>5911</v>
      </c>
    </row>
    <row r="550" spans="1:22" ht="28.8" x14ac:dyDescent="0.3">
      <c r="A550" t="s">
        <v>60</v>
      </c>
      <c r="B550" s="261" t="s">
        <v>2963</v>
      </c>
      <c r="C550" s="252" t="s">
        <v>5665</v>
      </c>
      <c r="D550" s="252" t="s">
        <v>5250</v>
      </c>
      <c r="E550" s="253" t="s">
        <v>5666</v>
      </c>
      <c r="F550" s="253" t="s">
        <v>1232</v>
      </c>
      <c r="G550" s="35">
        <v>265724157</v>
      </c>
      <c r="H550" s="252" t="s">
        <v>5493</v>
      </c>
      <c r="I550" s="252" t="s">
        <v>1232</v>
      </c>
      <c r="J550" s="252" t="s">
        <v>205</v>
      </c>
      <c r="K550" s="283">
        <v>50</v>
      </c>
      <c r="L550" s="252">
        <v>556</v>
      </c>
      <c r="M550" s="252">
        <v>2</v>
      </c>
      <c r="N550" s="252">
        <v>20</v>
      </c>
      <c r="O550" s="252" t="s">
        <v>5615</v>
      </c>
      <c r="P550" s="252" t="s">
        <v>5625</v>
      </c>
      <c r="Q550" s="252" t="s">
        <v>5856</v>
      </c>
      <c r="R550" s="252" t="s">
        <v>5781</v>
      </c>
      <c r="S550" s="252"/>
      <c r="T550" s="252"/>
      <c r="U550" s="282" t="s">
        <v>2772</v>
      </c>
      <c r="V550" s="282" t="s">
        <v>5911</v>
      </c>
    </row>
    <row r="551" spans="1:22" ht="28.8" x14ac:dyDescent="0.3">
      <c r="A551" t="s">
        <v>38</v>
      </c>
      <c r="B551" s="27" t="s">
        <v>2963</v>
      </c>
      <c r="C551" s="2" t="s">
        <v>5663</v>
      </c>
      <c r="D551" s="2" t="s">
        <v>5297</v>
      </c>
      <c r="E551" s="2" t="s">
        <v>5664</v>
      </c>
      <c r="F551" s="2" t="s">
        <v>1232</v>
      </c>
      <c r="G551" s="4">
        <v>265853315</v>
      </c>
      <c r="H551" s="2" t="s">
        <v>5588</v>
      </c>
      <c r="I551" s="2" t="s">
        <v>1232</v>
      </c>
      <c r="J551" s="2" t="s">
        <v>205</v>
      </c>
      <c r="K551" s="5">
        <v>75</v>
      </c>
      <c r="L551" s="44">
        <v>565</v>
      </c>
      <c r="M551" s="5">
        <v>3</v>
      </c>
      <c r="N551" s="5">
        <v>20</v>
      </c>
      <c r="O551" s="2" t="s">
        <v>5500</v>
      </c>
      <c r="P551" s="2" t="s">
        <v>5625</v>
      </c>
      <c r="Q551" s="2" t="s">
        <v>5856</v>
      </c>
      <c r="R551" s="2" t="s">
        <v>5867</v>
      </c>
      <c r="S551" s="2"/>
      <c r="T551" s="266" t="s">
        <v>5687</v>
      </c>
      <c r="U551" s="18" t="s">
        <v>38</v>
      </c>
      <c r="V551" s="18" t="s">
        <v>5914</v>
      </c>
    </row>
    <row r="552" spans="1:22" ht="28.8" x14ac:dyDescent="0.3">
      <c r="A552" t="s">
        <v>38</v>
      </c>
      <c r="B552" s="27" t="s">
        <v>5425</v>
      </c>
      <c r="C552" s="2" t="s">
        <v>5469</v>
      </c>
      <c r="D552" s="2" t="s">
        <v>5203</v>
      </c>
      <c r="E552" s="2" t="s">
        <v>5470</v>
      </c>
      <c r="F552" s="2" t="s">
        <v>1904</v>
      </c>
      <c r="G552" s="4">
        <v>263005783</v>
      </c>
      <c r="H552" s="2" t="s">
        <v>5436</v>
      </c>
      <c r="I552" s="2" t="s">
        <v>1904</v>
      </c>
      <c r="J552" s="2" t="s">
        <v>5471</v>
      </c>
      <c r="K552" s="5">
        <v>22.91</v>
      </c>
      <c r="L552" s="2">
        <v>500</v>
      </c>
      <c r="M552" s="5">
        <v>1</v>
      </c>
      <c r="N552" s="5">
        <v>20</v>
      </c>
      <c r="O552" s="2" t="s">
        <v>5652</v>
      </c>
      <c r="P552" s="2" t="s">
        <v>5852</v>
      </c>
      <c r="Q552" s="2" t="s">
        <v>5745</v>
      </c>
      <c r="R552" s="2" t="s">
        <v>5528</v>
      </c>
      <c r="S552" s="420" t="s">
        <v>5872</v>
      </c>
      <c r="T552" s="174" t="s">
        <v>5484</v>
      </c>
      <c r="U552" s="343" t="s">
        <v>38</v>
      </c>
      <c r="V552" s="343" t="s">
        <v>5914</v>
      </c>
    </row>
    <row r="553" spans="1:22" ht="57.6" x14ac:dyDescent="0.3">
      <c r="A553" t="s">
        <v>38</v>
      </c>
      <c r="B553" s="27" t="s">
        <v>573</v>
      </c>
      <c r="C553" s="2" t="s">
        <v>5620</v>
      </c>
      <c r="D553" s="2" t="s">
        <v>5388</v>
      </c>
      <c r="E553" s="19">
        <v>10122025</v>
      </c>
      <c r="F553" s="2" t="s">
        <v>3040</v>
      </c>
      <c r="G553" s="2" t="s">
        <v>5621</v>
      </c>
      <c r="H553" s="2" t="s">
        <v>5485</v>
      </c>
      <c r="I553" s="2" t="s">
        <v>3040</v>
      </c>
      <c r="J553" s="266" t="s">
        <v>3342</v>
      </c>
      <c r="K553" s="518" t="s">
        <v>5622</v>
      </c>
      <c r="L553" s="244" t="s">
        <v>5623</v>
      </c>
      <c r="M553" s="5">
        <v>1</v>
      </c>
      <c r="N553" s="5">
        <v>40</v>
      </c>
      <c r="O553" s="2" t="s">
        <v>5697</v>
      </c>
      <c r="P553" s="2" t="s">
        <v>5815</v>
      </c>
      <c r="Q553" s="2" t="s">
        <v>5869</v>
      </c>
      <c r="R553" s="2" t="s">
        <v>5731</v>
      </c>
      <c r="S553" s="18" t="s">
        <v>5847</v>
      </c>
      <c r="T553" s="174" t="s">
        <v>5727</v>
      </c>
      <c r="U553" t="s">
        <v>38</v>
      </c>
      <c r="V553" t="s">
        <v>5914</v>
      </c>
    </row>
    <row r="554" spans="1:22" ht="55.2" x14ac:dyDescent="0.3">
      <c r="A554" t="s">
        <v>60</v>
      </c>
      <c r="B554" s="565" t="s">
        <v>5419</v>
      </c>
      <c r="C554" s="259" t="s">
        <v>5510</v>
      </c>
      <c r="D554" s="535" t="s">
        <v>5359</v>
      </c>
      <c r="E554" s="268" t="s">
        <v>5408</v>
      </c>
      <c r="F554" s="268" t="s">
        <v>1996</v>
      </c>
      <c r="G554" s="16" t="s">
        <v>5407</v>
      </c>
      <c r="H554" s="535" t="s">
        <v>5351</v>
      </c>
      <c r="I554" s="535" t="s">
        <v>1996</v>
      </c>
      <c r="J554" s="535" t="s">
        <v>5409</v>
      </c>
      <c r="K554" s="545">
        <v>211.9</v>
      </c>
      <c r="L554" s="535">
        <v>543</v>
      </c>
      <c r="M554" s="535">
        <v>9</v>
      </c>
      <c r="N554" s="535">
        <v>20</v>
      </c>
      <c r="O554" s="535" t="s">
        <v>5624</v>
      </c>
      <c r="P554" s="535" t="s">
        <v>5815</v>
      </c>
      <c r="Q554" s="535" t="s">
        <v>5869</v>
      </c>
      <c r="R554" s="535" t="s">
        <v>5805</v>
      </c>
      <c r="S554" s="535" t="s">
        <v>5849</v>
      </c>
      <c r="T554" s="540" t="s">
        <v>5844</v>
      </c>
      <c r="U554" s="282" t="s">
        <v>2772</v>
      </c>
      <c r="V554" s="282" t="s">
        <v>5914</v>
      </c>
    </row>
    <row r="555" spans="1:22" ht="43.2" x14ac:dyDescent="0.3">
      <c r="A555" t="s">
        <v>529</v>
      </c>
      <c r="B555" s="261" t="s">
        <v>2427</v>
      </c>
      <c r="C555" s="252" t="s">
        <v>5692</v>
      </c>
      <c r="D555" s="252" t="s">
        <v>5551</v>
      </c>
      <c r="E555" s="252" t="s">
        <v>5693</v>
      </c>
      <c r="F555" s="252" t="s">
        <v>1462</v>
      </c>
      <c r="G555" s="252" t="s">
        <v>5694</v>
      </c>
      <c r="H555" s="252" t="s">
        <v>5535</v>
      </c>
      <c r="I555" s="252" t="s">
        <v>1462</v>
      </c>
      <c r="J555" s="252" t="s">
        <v>3181</v>
      </c>
      <c r="K555" s="283">
        <v>124.86</v>
      </c>
      <c r="L555" s="252">
        <v>538</v>
      </c>
      <c r="M555" s="252">
        <v>5</v>
      </c>
      <c r="N555" s="252">
        <v>20</v>
      </c>
      <c r="O555" s="252" t="s">
        <v>5743</v>
      </c>
      <c r="P555" s="252" t="s">
        <v>5829</v>
      </c>
      <c r="Q555" s="252" t="s">
        <v>5895</v>
      </c>
      <c r="R555" s="252" t="s">
        <v>5818</v>
      </c>
      <c r="S555" s="252" t="s">
        <v>5381</v>
      </c>
      <c r="T555" s="253" t="s">
        <v>5721</v>
      </c>
      <c r="U555" s="282" t="s">
        <v>2772</v>
      </c>
      <c r="V555" s="282" t="s">
        <v>5546</v>
      </c>
    </row>
    <row r="556" spans="1:22" ht="43.2" x14ac:dyDescent="0.3">
      <c r="A556" t="s">
        <v>38</v>
      </c>
      <c r="B556" s="27" t="s">
        <v>3405</v>
      </c>
      <c r="C556" s="2" t="s">
        <v>5640</v>
      </c>
      <c r="D556" s="2" t="s">
        <v>5396</v>
      </c>
      <c r="E556" s="2" t="s">
        <v>5641</v>
      </c>
      <c r="F556" s="2" t="s">
        <v>1462</v>
      </c>
      <c r="G556" s="19">
        <v>262858523</v>
      </c>
      <c r="H556" s="2" t="s">
        <v>5372</v>
      </c>
      <c r="I556" s="2" t="s">
        <v>1462</v>
      </c>
      <c r="J556" s="2" t="s">
        <v>2982</v>
      </c>
      <c r="K556" s="5">
        <v>300.06</v>
      </c>
      <c r="L556" s="2">
        <v>635</v>
      </c>
      <c r="M556" s="5">
        <v>14</v>
      </c>
      <c r="N556" s="5">
        <v>20</v>
      </c>
      <c r="O556" s="2" t="s">
        <v>5500</v>
      </c>
      <c r="P556" s="2" t="s">
        <v>5845</v>
      </c>
      <c r="Q556" s="2" t="s">
        <v>5745</v>
      </c>
      <c r="R556" s="2" t="s">
        <v>5867</v>
      </c>
      <c r="S556" s="2"/>
      <c r="T556" s="174" t="s">
        <v>5689</v>
      </c>
      <c r="U556" s="343" t="s">
        <v>5934</v>
      </c>
      <c r="V556" s="343" t="s">
        <v>5935</v>
      </c>
    </row>
    <row r="557" spans="1:22" ht="28.8" x14ac:dyDescent="0.3">
      <c r="A557" t="s">
        <v>38</v>
      </c>
      <c r="B557" s="27" t="s">
        <v>2427</v>
      </c>
      <c r="C557" s="2" t="s">
        <v>5710</v>
      </c>
      <c r="D557" s="2" t="s">
        <v>5428</v>
      </c>
      <c r="E557" s="2" t="s">
        <v>5711</v>
      </c>
      <c r="F557" s="2" t="s">
        <v>1462</v>
      </c>
      <c r="G557" s="19" t="s">
        <v>5712</v>
      </c>
      <c r="H557" s="2" t="s">
        <v>5535</v>
      </c>
      <c r="I557" s="2" t="s">
        <v>1462</v>
      </c>
      <c r="J557" s="2" t="s">
        <v>3181</v>
      </c>
      <c r="K557" s="5">
        <v>124.9</v>
      </c>
      <c r="L557" s="44">
        <v>538</v>
      </c>
      <c r="M557" s="5">
        <v>5</v>
      </c>
      <c r="N557" s="5">
        <v>20</v>
      </c>
      <c r="O557" s="2" t="s">
        <v>5742</v>
      </c>
      <c r="P557" s="2" t="s">
        <v>5829</v>
      </c>
      <c r="Q557" s="2" t="s">
        <v>5895</v>
      </c>
      <c r="R557" s="2" t="s">
        <v>5867</v>
      </c>
      <c r="S557" s="2" t="s">
        <v>5880</v>
      </c>
      <c r="T557" s="411" t="s">
        <v>5839</v>
      </c>
      <c r="U557" s="18" t="s">
        <v>38</v>
      </c>
      <c r="V557" s="18" t="s">
        <v>5898</v>
      </c>
    </row>
    <row r="558" spans="1:22" ht="55.2" x14ac:dyDescent="0.3">
      <c r="A558" t="s">
        <v>60</v>
      </c>
      <c r="B558" s="565" t="s">
        <v>5419</v>
      </c>
      <c r="C558" s="259" t="s">
        <v>5510</v>
      </c>
      <c r="D558" s="535" t="s">
        <v>5359</v>
      </c>
      <c r="E558" s="268" t="s">
        <v>5408</v>
      </c>
      <c r="F558" s="268" t="s">
        <v>1996</v>
      </c>
      <c r="G558" s="553" t="s">
        <v>5604</v>
      </c>
      <c r="H558" s="535" t="s">
        <v>5538</v>
      </c>
      <c r="I558" s="535" t="s">
        <v>1996</v>
      </c>
      <c r="J558" s="535" t="s">
        <v>5409</v>
      </c>
      <c r="K558" s="545">
        <v>23.85</v>
      </c>
      <c r="L558" s="535">
        <v>543</v>
      </c>
      <c r="M558" s="535">
        <v>1</v>
      </c>
      <c r="N558" s="535">
        <v>20</v>
      </c>
      <c r="O558" s="535" t="s">
        <v>5624</v>
      </c>
      <c r="P558" s="535" t="s">
        <v>5875</v>
      </c>
      <c r="Q558" s="535" t="s">
        <v>5854</v>
      </c>
      <c r="R558" s="535" t="s">
        <v>28</v>
      </c>
      <c r="S558" s="535"/>
      <c r="T558" s="565" t="s">
        <v>5627</v>
      </c>
      <c r="U558" s="282" t="s">
        <v>2772</v>
      </c>
      <c r="V558" s="282" t="s">
        <v>5745</v>
      </c>
    </row>
    <row r="559" spans="1:22" ht="72" x14ac:dyDescent="0.3">
      <c r="A559" t="s">
        <v>60</v>
      </c>
      <c r="B559" s="261" t="s">
        <v>5597</v>
      </c>
      <c r="C559" s="252" t="s">
        <v>5598</v>
      </c>
      <c r="D559" s="252" t="s">
        <v>5504</v>
      </c>
      <c r="E559" s="253" t="s">
        <v>5599</v>
      </c>
      <c r="F559" s="253" t="s">
        <v>1462</v>
      </c>
      <c r="G559" s="253" t="s">
        <v>5600</v>
      </c>
      <c r="H559" s="252" t="s">
        <v>5564</v>
      </c>
      <c r="I559" s="252" t="s">
        <v>1462</v>
      </c>
      <c r="J559" s="252" t="s">
        <v>5601</v>
      </c>
      <c r="K559" s="283">
        <v>125.26</v>
      </c>
      <c r="L559" s="252">
        <v>580</v>
      </c>
      <c r="M559" s="252">
        <v>5</v>
      </c>
      <c r="N559" s="252">
        <v>20</v>
      </c>
      <c r="O559" s="252" t="s">
        <v>5811</v>
      </c>
      <c r="P559" s="252" t="s">
        <v>5741</v>
      </c>
      <c r="Q559" s="252" t="s">
        <v>5910</v>
      </c>
      <c r="R559" s="253" t="s">
        <v>28</v>
      </c>
      <c r="S559" s="252"/>
      <c r="T559" s="253" t="s">
        <v>5863</v>
      </c>
      <c r="U559" s="282" t="s">
        <v>38</v>
      </c>
      <c r="V559" s="282" t="s">
        <v>5745</v>
      </c>
    </row>
    <row r="560" spans="1:22" ht="57.6" x14ac:dyDescent="0.3">
      <c r="A560" t="s">
        <v>38</v>
      </c>
      <c r="B560" s="411" t="s">
        <v>5420</v>
      </c>
      <c r="C560" t="s">
        <v>5509</v>
      </c>
      <c r="D560" s="2" t="s">
        <v>5403</v>
      </c>
      <c r="E560" s="2" t="s">
        <v>5848</v>
      </c>
      <c r="F560" s="2" t="s">
        <v>1996</v>
      </c>
      <c r="G560" s="2" t="s">
        <v>5410</v>
      </c>
      <c r="H560" s="2" t="s">
        <v>5368</v>
      </c>
      <c r="I560" s="2" t="s">
        <v>1996</v>
      </c>
      <c r="J560" s="2" t="s">
        <v>5411</v>
      </c>
      <c r="K560" s="5">
        <v>239.35</v>
      </c>
      <c r="L560" s="2">
        <v>543</v>
      </c>
      <c r="M560" s="5">
        <v>10</v>
      </c>
      <c r="N560" s="5">
        <v>20</v>
      </c>
      <c r="O560" s="2" t="s">
        <v>5738</v>
      </c>
      <c r="P560" s="2" t="s">
        <v>5741</v>
      </c>
      <c r="Q560" s="2" t="s">
        <v>5910</v>
      </c>
      <c r="R560" s="2" t="s">
        <v>121</v>
      </c>
      <c r="S560" s="2"/>
      <c r="T560" s="174" t="s">
        <v>5704</v>
      </c>
      <c r="U560" s="18" t="s">
        <v>38</v>
      </c>
      <c r="V560" s="18" t="s">
        <v>5858</v>
      </c>
    </row>
    <row r="561" spans="1:22" ht="43.2" x14ac:dyDescent="0.3">
      <c r="A561" t="s">
        <v>60</v>
      </c>
      <c r="B561" s="261" t="s">
        <v>2427</v>
      </c>
      <c r="C561" s="252" t="s">
        <v>5653</v>
      </c>
      <c r="D561" s="252" t="s">
        <v>5654</v>
      </c>
      <c r="E561" s="253" t="s">
        <v>5655</v>
      </c>
      <c r="F561" s="253" t="s">
        <v>1462</v>
      </c>
      <c r="G561" s="35">
        <v>266624900</v>
      </c>
      <c r="H561" s="252" t="s">
        <v>5643</v>
      </c>
      <c r="I561" s="252" t="s">
        <v>1462</v>
      </c>
      <c r="J561" s="252" t="s">
        <v>3181</v>
      </c>
      <c r="K561" s="283">
        <v>124.84</v>
      </c>
      <c r="L561" s="252">
        <v>525</v>
      </c>
      <c r="M561" s="252">
        <v>5</v>
      </c>
      <c r="N561" s="252">
        <v>20</v>
      </c>
      <c r="O561" s="252" t="s">
        <v>5624</v>
      </c>
      <c r="P561" s="252" t="s">
        <v>5857</v>
      </c>
      <c r="Q561" s="252" t="s">
        <v>5929</v>
      </c>
      <c r="R561" s="252" t="s">
        <v>5878</v>
      </c>
      <c r="S561" s="252" t="s">
        <v>5579</v>
      </c>
      <c r="T561" s="252" t="s">
        <v>5688</v>
      </c>
      <c r="U561" s="42" t="s">
        <v>38</v>
      </c>
      <c r="V561" s="282" t="s">
        <v>5942</v>
      </c>
    </row>
    <row r="562" spans="1:22" ht="43.2" x14ac:dyDescent="0.3">
      <c r="A562" t="s">
        <v>38</v>
      </c>
      <c r="B562" s="27" t="s">
        <v>2427</v>
      </c>
      <c r="C562" s="2" t="s">
        <v>5605</v>
      </c>
      <c r="D562" s="2" t="s">
        <v>5606</v>
      </c>
      <c r="E562" s="2" t="s">
        <v>5728</v>
      </c>
      <c r="F562" s="2" t="s">
        <v>1462</v>
      </c>
      <c r="G562" s="19">
        <v>263834344</v>
      </c>
      <c r="H562" s="2" t="s">
        <v>5643</v>
      </c>
      <c r="I562" s="2" t="s">
        <v>1462</v>
      </c>
      <c r="J562" s="2" t="s">
        <v>137</v>
      </c>
      <c r="K562" s="5">
        <v>249.96</v>
      </c>
      <c r="L562" s="44">
        <v>638</v>
      </c>
      <c r="M562" s="5">
        <v>10</v>
      </c>
      <c r="N562" s="5">
        <v>40</v>
      </c>
      <c r="O562" s="2" t="s">
        <v>5624</v>
      </c>
      <c r="P562" s="2" t="s">
        <v>5857</v>
      </c>
      <c r="Q562" s="2" t="s">
        <v>5929</v>
      </c>
      <c r="R562" s="2" t="s">
        <v>5933</v>
      </c>
      <c r="S562" s="2" t="s">
        <v>5634</v>
      </c>
      <c r="T562" s="266" t="s">
        <v>5718</v>
      </c>
      <c r="U562" s="509" t="s">
        <v>5952</v>
      </c>
      <c r="V562" s="313" t="s">
        <v>5953</v>
      </c>
    </row>
    <row r="563" spans="1:22" ht="57.6" x14ac:dyDescent="0.3">
      <c r="A563" t="s">
        <v>38</v>
      </c>
      <c r="B563" s="27" t="s">
        <v>5425</v>
      </c>
      <c r="C563" s="2" t="s">
        <v>5501</v>
      </c>
      <c r="D563" s="2" t="s">
        <v>5502</v>
      </c>
      <c r="E563" s="2" t="s">
        <v>5503</v>
      </c>
      <c r="F563" s="2" t="s">
        <v>1904</v>
      </c>
      <c r="G563" s="4">
        <v>263910247</v>
      </c>
      <c r="H563" s="2" t="s">
        <v>5359</v>
      </c>
      <c r="I563" s="2" t="s">
        <v>1904</v>
      </c>
      <c r="J563" s="2" t="s">
        <v>5429</v>
      </c>
      <c r="K563" s="5">
        <v>485.13600000000002</v>
      </c>
      <c r="L563" s="2">
        <v>548</v>
      </c>
      <c r="M563" s="5" t="s">
        <v>5888</v>
      </c>
      <c r="N563" s="5">
        <v>20</v>
      </c>
      <c r="O563" s="2" t="s">
        <v>5701</v>
      </c>
      <c r="P563" s="2" t="s">
        <v>5856</v>
      </c>
      <c r="Q563" s="2" t="s">
        <v>5917</v>
      </c>
      <c r="R563" s="2" t="s">
        <v>5587</v>
      </c>
      <c r="S563" s="266" t="s">
        <v>5889</v>
      </c>
      <c r="T563" s="174" t="s">
        <v>5886</v>
      </c>
      <c r="U563" s="571" t="s">
        <v>5943</v>
      </c>
      <c r="V563" s="315" t="s">
        <v>5944</v>
      </c>
    </row>
    <row r="564" spans="1:22" ht="72" x14ac:dyDescent="0.3">
      <c r="A564" t="s">
        <v>38</v>
      </c>
      <c r="B564" s="27" t="s">
        <v>5425</v>
      </c>
      <c r="C564" s="2" t="s">
        <v>5660</v>
      </c>
      <c r="D564" s="2" t="s">
        <v>5504</v>
      </c>
      <c r="E564" s="2" t="s">
        <v>5661</v>
      </c>
      <c r="F564" s="2" t="s">
        <v>1904</v>
      </c>
      <c r="G564" s="4">
        <v>265135928</v>
      </c>
      <c r="H564" s="2" t="s">
        <v>5359</v>
      </c>
      <c r="I564" s="2" t="s">
        <v>1904</v>
      </c>
      <c r="J564" s="266" t="s">
        <v>5662</v>
      </c>
      <c r="K564" s="5">
        <v>514.39300000000003</v>
      </c>
      <c r="L564" s="44">
        <v>530</v>
      </c>
      <c r="M564" s="5">
        <v>22</v>
      </c>
      <c r="N564" s="5">
        <v>20</v>
      </c>
      <c r="O564" s="2" t="s">
        <v>5701</v>
      </c>
      <c r="P564" s="2" t="s">
        <v>5856</v>
      </c>
      <c r="Q564" s="2" t="s">
        <v>5917</v>
      </c>
      <c r="R564" s="2" t="s">
        <v>5731</v>
      </c>
      <c r="S564" s="2"/>
      <c r="T564" s="174" t="s">
        <v>5887</v>
      </c>
      <c r="U564" s="568" t="s">
        <v>38</v>
      </c>
      <c r="V564" t="s">
        <v>5917</v>
      </c>
    </row>
    <row r="565" spans="1:22" ht="28.8" x14ac:dyDescent="0.3">
      <c r="A565" t="s">
        <v>38</v>
      </c>
      <c r="B565" s="27" t="s">
        <v>2427</v>
      </c>
      <c r="C565" s="2" t="s">
        <v>5432</v>
      </c>
      <c r="D565" s="2" t="s">
        <v>5297</v>
      </c>
      <c r="E565" s="2" t="s">
        <v>5394</v>
      </c>
      <c r="F565" s="2" t="s">
        <v>1462</v>
      </c>
      <c r="G565" s="19">
        <v>266823653</v>
      </c>
      <c r="H565" s="2" t="s">
        <v>5643</v>
      </c>
      <c r="I565" s="2" t="s">
        <v>1462</v>
      </c>
      <c r="J565" s="2" t="s">
        <v>3181</v>
      </c>
      <c r="K565" s="5">
        <v>124.84</v>
      </c>
      <c r="L565" s="44">
        <v>538</v>
      </c>
      <c r="M565" s="5">
        <v>5</v>
      </c>
      <c r="N565" s="5">
        <v>20</v>
      </c>
      <c r="O565" s="2" t="s">
        <v>5578</v>
      </c>
      <c r="P565" s="2" t="s">
        <v>5745</v>
      </c>
      <c r="Q565" s="2" t="s">
        <v>5922</v>
      </c>
      <c r="R565" s="2" t="s">
        <v>5933</v>
      </c>
      <c r="T565" s="411" t="s">
        <v>5729</v>
      </c>
      <c r="U565" s="568" t="s">
        <v>38</v>
      </c>
      <c r="V565" s="74" t="s">
        <v>5930</v>
      </c>
    </row>
    <row r="566" spans="1:22" ht="27.6" x14ac:dyDescent="0.3">
      <c r="A566" t="s">
        <v>344</v>
      </c>
      <c r="B566" s="566" t="s">
        <v>5373</v>
      </c>
      <c r="C566" s="548" t="s">
        <v>5675</v>
      </c>
      <c r="D566" s="548"/>
      <c r="E566" s="560" t="s">
        <v>5613</v>
      </c>
      <c r="F566" s="547" t="s">
        <v>1462</v>
      </c>
      <c r="G566" s="124">
        <v>265053517</v>
      </c>
      <c r="H566" s="548" t="s">
        <v>5447</v>
      </c>
      <c r="I566" s="548" t="s">
        <v>1462</v>
      </c>
      <c r="J566" s="562" t="s">
        <v>5614</v>
      </c>
      <c r="K566" s="549">
        <v>123.22</v>
      </c>
      <c r="L566" s="548">
        <v>585</v>
      </c>
      <c r="M566" s="548">
        <v>5</v>
      </c>
      <c r="N566" s="548">
        <v>20</v>
      </c>
      <c r="O566" s="548" t="s">
        <v>5615</v>
      </c>
      <c r="P566" s="548" t="s">
        <v>5745</v>
      </c>
      <c r="Q566" s="548" t="s">
        <v>5922</v>
      </c>
      <c r="R566" s="548" t="s">
        <v>5878</v>
      </c>
      <c r="S566" s="548"/>
      <c r="T566" s="566" t="s">
        <v>5639</v>
      </c>
      <c r="U566" s="282" t="s">
        <v>3143</v>
      </c>
      <c r="V566" s="282" t="s">
        <v>5917</v>
      </c>
    </row>
    <row r="567" spans="1:22" ht="62.4" x14ac:dyDescent="0.3">
      <c r="A567" t="s">
        <v>55</v>
      </c>
      <c r="B567" s="27" t="s">
        <v>2427</v>
      </c>
      <c r="C567" s="2" t="s">
        <v>5512</v>
      </c>
      <c r="D567" s="2" t="s">
        <v>5465</v>
      </c>
      <c r="E567" s="2" t="s">
        <v>5513</v>
      </c>
      <c r="F567" s="2" t="s">
        <v>1462</v>
      </c>
      <c r="G567" s="19">
        <v>263724023</v>
      </c>
      <c r="H567" s="2" t="s">
        <v>5508</v>
      </c>
      <c r="I567" s="2" t="s">
        <v>1462</v>
      </c>
      <c r="J567" s="2" t="s">
        <v>3202</v>
      </c>
      <c r="K567" s="5">
        <v>190.42</v>
      </c>
      <c r="L567" s="2">
        <v>490</v>
      </c>
      <c r="M567" s="5">
        <v>8</v>
      </c>
      <c r="N567" s="5">
        <v>20</v>
      </c>
      <c r="O567" s="2" t="s">
        <v>5631</v>
      </c>
      <c r="P567" s="25" t="s">
        <v>5674</v>
      </c>
      <c r="Q567" s="2" t="s">
        <v>5949</v>
      </c>
      <c r="R567" s="2" t="s">
        <v>5644</v>
      </c>
      <c r="S567" s="2"/>
      <c r="T567" s="174" t="s">
        <v>5968</v>
      </c>
      <c r="U567" s="517" t="s">
        <v>5970</v>
      </c>
      <c r="V567" s="313" t="s">
        <v>5971</v>
      </c>
    </row>
    <row r="568" spans="1:22" ht="72" x14ac:dyDescent="0.3">
      <c r="A568" t="s">
        <v>38</v>
      </c>
      <c r="B568" s="27" t="s">
        <v>2864</v>
      </c>
      <c r="C568" s="2" t="s">
        <v>5746</v>
      </c>
      <c r="D568" s="2" t="s">
        <v>5700</v>
      </c>
      <c r="E568" s="2" t="s">
        <v>5545</v>
      </c>
      <c r="F568" s="2" t="s">
        <v>1462</v>
      </c>
      <c r="G568" s="488">
        <v>265723181</v>
      </c>
      <c r="H568" s="2" t="s">
        <v>5479</v>
      </c>
      <c r="I568" s="2" t="s">
        <v>1462</v>
      </c>
      <c r="J568" s="2" t="s">
        <v>977</v>
      </c>
      <c r="K568" s="5">
        <v>412.42</v>
      </c>
      <c r="L568" s="2">
        <v>668</v>
      </c>
      <c r="M568" s="5">
        <v>15</v>
      </c>
      <c r="N568" s="5">
        <v>40</v>
      </c>
      <c r="O568" s="2" t="s">
        <v>5697</v>
      </c>
      <c r="P568" s="2" t="s">
        <v>5674</v>
      </c>
      <c r="Q568" s="2" t="s">
        <v>5949</v>
      </c>
      <c r="R568" s="2" t="s">
        <v>5818</v>
      </c>
      <c r="S568" s="2" t="s">
        <v>5761</v>
      </c>
      <c r="T568" s="174" t="s">
        <v>5969</v>
      </c>
      <c r="U568" s="577" t="s">
        <v>6015</v>
      </c>
      <c r="V568" s="313" t="s">
        <v>6016</v>
      </c>
    </row>
    <row r="569" spans="1:22" ht="72" x14ac:dyDescent="0.3">
      <c r="A569" t="s">
        <v>529</v>
      </c>
      <c r="B569" s="261" t="s">
        <v>5597</v>
      </c>
      <c r="C569" s="252" t="s">
        <v>5679</v>
      </c>
      <c r="D569" s="252" t="s">
        <v>5428</v>
      </c>
      <c r="E569" s="252" t="s">
        <v>5680</v>
      </c>
      <c r="F569" s="252" t="s">
        <v>1462</v>
      </c>
      <c r="G569" s="252" t="s">
        <v>5681</v>
      </c>
      <c r="H569" s="252" t="s">
        <v>5437</v>
      </c>
      <c r="I569" s="252" t="s">
        <v>1462</v>
      </c>
      <c r="J569" s="252" t="s">
        <v>3157</v>
      </c>
      <c r="K569" s="283">
        <v>124.34</v>
      </c>
      <c r="L569" s="252">
        <v>535</v>
      </c>
      <c r="M569" s="252">
        <v>5</v>
      </c>
      <c r="N569" s="252">
        <v>20</v>
      </c>
      <c r="O569" s="252" t="s">
        <v>5625</v>
      </c>
      <c r="P569" s="252" t="s">
        <v>5910</v>
      </c>
      <c r="Q569" s="252" t="s">
        <v>5830</v>
      </c>
      <c r="R569" s="252" t="s">
        <v>5757</v>
      </c>
      <c r="S569" s="252" t="s">
        <v>5959</v>
      </c>
      <c r="T569" s="253" t="s">
        <v>5720</v>
      </c>
      <c r="U569" s="328" t="s">
        <v>2772</v>
      </c>
      <c r="V569" s="328" t="s">
        <v>5922</v>
      </c>
    </row>
    <row r="570" spans="1:22" ht="72" x14ac:dyDescent="0.3">
      <c r="A570" t="s">
        <v>38</v>
      </c>
      <c r="B570" s="27" t="s">
        <v>5425</v>
      </c>
      <c r="C570" s="2" t="s">
        <v>5660</v>
      </c>
      <c r="D570" s="2" t="s">
        <v>5504</v>
      </c>
      <c r="E570" s="2" t="s">
        <v>5661</v>
      </c>
      <c r="F570" s="2" t="s">
        <v>1904</v>
      </c>
      <c r="G570" s="4">
        <v>265324726</v>
      </c>
      <c r="H570" s="2" t="s">
        <v>5372</v>
      </c>
      <c r="I570" s="2" t="s">
        <v>1904</v>
      </c>
      <c r="J570" s="266" t="s">
        <v>5662</v>
      </c>
      <c r="K570" s="5">
        <v>22.896999999999998</v>
      </c>
      <c r="L570" s="44">
        <v>530</v>
      </c>
      <c r="M570" s="5">
        <v>1</v>
      </c>
      <c r="N570" s="5">
        <v>20</v>
      </c>
      <c r="O570" s="2" t="s">
        <v>5631</v>
      </c>
      <c r="P570" s="2" t="s">
        <v>5674</v>
      </c>
      <c r="Q570" s="2" t="s">
        <v>5937</v>
      </c>
      <c r="R570" s="2" t="s">
        <v>5731</v>
      </c>
      <c r="S570" s="2"/>
      <c r="T570" s="174" t="s">
        <v>5972</v>
      </c>
      <c r="U570" s="569" t="s">
        <v>38</v>
      </c>
      <c r="V570" s="74" t="s">
        <v>5922</v>
      </c>
    </row>
    <row r="571" spans="1:22" ht="69" x14ac:dyDescent="0.3">
      <c r="A571" t="s">
        <v>60</v>
      </c>
      <c r="B571" s="254" t="s">
        <v>5373</v>
      </c>
      <c r="C571" s="535" t="s">
        <v>5675</v>
      </c>
      <c r="D571" s="535"/>
      <c r="E571" s="16" t="s">
        <v>5617</v>
      </c>
      <c r="F571" s="268" t="s">
        <v>1462</v>
      </c>
      <c r="G571" s="574">
        <v>265173011</v>
      </c>
      <c r="H571" s="535" t="s">
        <v>5619</v>
      </c>
      <c r="I571" s="535" t="s">
        <v>1462</v>
      </c>
      <c r="J571" s="563" t="s">
        <v>5618</v>
      </c>
      <c r="K571" s="545">
        <v>124.78</v>
      </c>
      <c r="L571" s="535">
        <v>595</v>
      </c>
      <c r="M571" s="535">
        <v>5</v>
      </c>
      <c r="N571" s="535">
        <v>20</v>
      </c>
      <c r="O571" s="535" t="s">
        <v>5817</v>
      </c>
      <c r="P571" s="535" t="s">
        <v>5674</v>
      </c>
      <c r="Q571" s="535" t="s">
        <v>5949</v>
      </c>
      <c r="R571" s="535" t="s">
        <v>28</v>
      </c>
      <c r="S571" s="535" t="s">
        <v>5959</v>
      </c>
      <c r="T571" s="268" t="s">
        <v>5960</v>
      </c>
      <c r="U571" s="570" t="s">
        <v>38</v>
      </c>
      <c r="V571" s="282" t="s">
        <v>5990</v>
      </c>
    </row>
    <row r="572" spans="1:22" ht="28.8" x14ac:dyDescent="0.3">
      <c r="A572" t="s">
        <v>38</v>
      </c>
      <c r="B572" s="27" t="s">
        <v>2427</v>
      </c>
      <c r="C572" s="2" t="s">
        <v>5802</v>
      </c>
      <c r="D572" s="2" t="s">
        <v>5430</v>
      </c>
      <c r="E572" s="2" t="s">
        <v>5803</v>
      </c>
      <c r="F572" s="2" t="s">
        <v>1462</v>
      </c>
      <c r="G572" s="575" t="s">
        <v>5804</v>
      </c>
      <c r="H572" s="2" t="s">
        <v>5777</v>
      </c>
      <c r="I572" s="2" t="s">
        <v>1462</v>
      </c>
      <c r="J572" s="2" t="s">
        <v>977</v>
      </c>
      <c r="K572" s="5">
        <v>293.76</v>
      </c>
      <c r="L572" s="44">
        <v>640</v>
      </c>
      <c r="M572" s="5">
        <v>14</v>
      </c>
      <c r="N572" s="5">
        <v>20</v>
      </c>
      <c r="O572" s="2" t="s">
        <v>5649</v>
      </c>
      <c r="P572" s="2" t="s">
        <v>5854</v>
      </c>
      <c r="Q572" s="2" t="s">
        <v>5830</v>
      </c>
      <c r="R572" s="2" t="s">
        <v>5936</v>
      </c>
      <c r="S572" s="2" t="s">
        <v>5973</v>
      </c>
      <c r="T572" s="174" t="s">
        <v>5954</v>
      </c>
      <c r="U572" s="18" t="s">
        <v>38</v>
      </c>
      <c r="V572" s="18" t="s">
        <v>5929</v>
      </c>
    </row>
    <row r="573" spans="1:22" ht="57.6" x14ac:dyDescent="0.3">
      <c r="A573" t="s">
        <v>38</v>
      </c>
      <c r="B573" s="27" t="s">
        <v>157</v>
      </c>
      <c r="C573" s="2" t="s">
        <v>5717</v>
      </c>
      <c r="D573" s="2" t="s">
        <v>5696</v>
      </c>
      <c r="E573" s="19">
        <v>26020202</v>
      </c>
      <c r="F573" s="2" t="s">
        <v>1904</v>
      </c>
      <c r="G573" s="572">
        <v>265769636</v>
      </c>
      <c r="H573" s="2" t="s">
        <v>5447</v>
      </c>
      <c r="I573" s="2" t="s">
        <v>1904</v>
      </c>
      <c r="J573" s="2" t="s">
        <v>5716</v>
      </c>
      <c r="K573" s="5">
        <v>465.93</v>
      </c>
      <c r="L573" s="44">
        <v>545</v>
      </c>
      <c r="M573" s="5">
        <v>18</v>
      </c>
      <c r="N573" s="5">
        <v>40</v>
      </c>
      <c r="O573" s="2" t="s">
        <v>5625</v>
      </c>
      <c r="P573" s="2" t="s">
        <v>5930</v>
      </c>
      <c r="Q573" s="2" t="s">
        <v>5949</v>
      </c>
      <c r="R573" s="2" t="s">
        <v>121</v>
      </c>
      <c r="S573" s="2" t="s">
        <v>6011</v>
      </c>
      <c r="T573" s="174" t="s">
        <v>5912</v>
      </c>
      <c r="U573" s="576" t="s">
        <v>6019</v>
      </c>
      <c r="V573" s="343" t="s">
        <v>6020</v>
      </c>
    </row>
    <row r="574" spans="1:22" ht="72" x14ac:dyDescent="0.3">
      <c r="A574" t="s">
        <v>60</v>
      </c>
      <c r="B574" s="261" t="s">
        <v>5597</v>
      </c>
      <c r="C574" s="252" t="s">
        <v>5824</v>
      </c>
      <c r="D574" s="252" t="s">
        <v>5442</v>
      </c>
      <c r="E574" s="252" t="s">
        <v>5825</v>
      </c>
      <c r="F574" s="252" t="s">
        <v>1462</v>
      </c>
      <c r="G574" s="573" t="s">
        <v>5826</v>
      </c>
      <c r="H574" s="252" t="s">
        <v>5646</v>
      </c>
      <c r="I574" s="252" t="s">
        <v>1462</v>
      </c>
      <c r="J574" s="252" t="s">
        <v>3157</v>
      </c>
      <c r="K574" s="283">
        <v>124.76</v>
      </c>
      <c r="L574" s="252">
        <v>580</v>
      </c>
      <c r="M574" s="252">
        <v>5</v>
      </c>
      <c r="N574" s="252">
        <v>20</v>
      </c>
      <c r="O574" s="252" t="s">
        <v>5857</v>
      </c>
      <c r="P574" s="252" t="s">
        <v>5686</v>
      </c>
      <c r="Q574" s="252" t="s">
        <v>5985</v>
      </c>
      <c r="R574" s="252" t="s">
        <v>5975</v>
      </c>
      <c r="S574" s="252" t="s">
        <v>6008</v>
      </c>
      <c r="T574" s="261" t="s">
        <v>5833</v>
      </c>
      <c r="U574" s="282" t="s">
        <v>2772</v>
      </c>
      <c r="V574" s="282" t="s">
        <v>5976</v>
      </c>
    </row>
    <row r="575" spans="1:22" ht="43.2" x14ac:dyDescent="0.3">
      <c r="A575" t="s">
        <v>60</v>
      </c>
      <c r="B575" s="261" t="s">
        <v>5795</v>
      </c>
      <c r="C575" s="252" t="s">
        <v>5877</v>
      </c>
      <c r="D575" s="252"/>
      <c r="E575" s="252" t="s">
        <v>5796</v>
      </c>
      <c r="F575" s="252" t="s">
        <v>1261</v>
      </c>
      <c r="G575" s="573" t="s">
        <v>5797</v>
      </c>
      <c r="H575" s="252" t="s">
        <v>5778</v>
      </c>
      <c r="I575" s="252" t="s">
        <v>1261</v>
      </c>
      <c r="J575" s="252" t="s">
        <v>5790</v>
      </c>
      <c r="K575" s="283">
        <v>96</v>
      </c>
      <c r="L575" s="252">
        <v>820</v>
      </c>
      <c r="M575" s="252">
        <v>4</v>
      </c>
      <c r="N575" s="252">
        <v>20</v>
      </c>
      <c r="O575" s="252" t="s">
        <v>5881</v>
      </c>
      <c r="P575" s="252" t="s">
        <v>5855</v>
      </c>
      <c r="Q575" s="252" t="s">
        <v>5783</v>
      </c>
      <c r="R575" s="252" t="s">
        <v>5979</v>
      </c>
      <c r="S575" s="252"/>
      <c r="T575" s="252" t="s">
        <v>5798</v>
      </c>
      <c r="U575" s="328" t="s">
        <v>38</v>
      </c>
      <c r="V575" s="328" t="s">
        <v>5978</v>
      </c>
    </row>
    <row r="576" spans="1:22" ht="72" x14ac:dyDescent="0.3">
      <c r="A576" t="s">
        <v>60</v>
      </c>
      <c r="B576" s="261" t="s">
        <v>157</v>
      </c>
      <c r="C576" s="252" t="s">
        <v>5989</v>
      </c>
      <c r="D576" s="252"/>
      <c r="E576" s="251">
        <v>26031902</v>
      </c>
      <c r="F576" s="252" t="s">
        <v>1272</v>
      </c>
      <c r="G576" s="252" t="s">
        <v>5812</v>
      </c>
      <c r="H576" s="252" t="s">
        <v>5697</v>
      </c>
      <c r="I576" s="252" t="s">
        <v>1272</v>
      </c>
      <c r="J576" s="252" t="s">
        <v>5813</v>
      </c>
      <c r="K576" s="283">
        <v>100</v>
      </c>
      <c r="L576" s="252">
        <v>940</v>
      </c>
      <c r="M576" s="252">
        <v>4</v>
      </c>
      <c r="N576" s="252">
        <v>20</v>
      </c>
      <c r="O576" s="252" t="s">
        <v>5942</v>
      </c>
      <c r="P576" s="252" t="s">
        <v>5942</v>
      </c>
      <c r="Q576" s="252" t="s">
        <v>5978</v>
      </c>
      <c r="R576" s="252" t="s">
        <v>6013</v>
      </c>
      <c r="S576" s="252" t="s">
        <v>6009</v>
      </c>
      <c r="T576" s="252" t="s">
        <v>5814</v>
      </c>
      <c r="U576" s="328" t="s">
        <v>38</v>
      </c>
      <c r="V576" s="282" t="s">
        <v>5985</v>
      </c>
    </row>
    <row r="577" spans="1:22" ht="57.6" x14ac:dyDescent="0.3">
      <c r="A577" t="s">
        <v>38</v>
      </c>
      <c r="B577" s="27" t="s">
        <v>157</v>
      </c>
      <c r="C577" s="2" t="s">
        <v>5717</v>
      </c>
      <c r="D577" s="2" t="s">
        <v>5696</v>
      </c>
      <c r="E577" s="19">
        <v>26020202</v>
      </c>
      <c r="F577" s="2" t="s">
        <v>1904</v>
      </c>
      <c r="G577" s="19">
        <v>266060310</v>
      </c>
      <c r="H577" s="2" t="s">
        <v>5643</v>
      </c>
      <c r="I577" s="2" t="s">
        <v>1904</v>
      </c>
      <c r="J577" s="2" t="s">
        <v>5716</v>
      </c>
      <c r="K577" s="5">
        <v>510.68200000000002</v>
      </c>
      <c r="L577" s="44">
        <v>545</v>
      </c>
      <c r="M577" s="5">
        <v>20</v>
      </c>
      <c r="N577" s="5">
        <v>40</v>
      </c>
      <c r="O577" s="2" t="s">
        <v>5625</v>
      </c>
      <c r="P577" s="2" t="s">
        <v>5990</v>
      </c>
      <c r="Q577" s="2" t="s">
        <v>5991</v>
      </c>
      <c r="R577" s="2" t="s">
        <v>121</v>
      </c>
      <c r="S577" s="18" t="s">
        <v>6018</v>
      </c>
      <c r="T577" s="411" t="s">
        <v>5840</v>
      </c>
      <c r="U577" s="315" t="s">
        <v>6033</v>
      </c>
      <c r="V577" s="315" t="s">
        <v>6034</v>
      </c>
    </row>
    <row r="578" spans="1:22" ht="86.4" x14ac:dyDescent="0.3">
      <c r="A578" t="s">
        <v>38</v>
      </c>
      <c r="B578" s="27" t="s">
        <v>3405</v>
      </c>
      <c r="C578" s="2" t="s">
        <v>5647</v>
      </c>
      <c r="D578" s="2" t="s">
        <v>5396</v>
      </c>
      <c r="E578" s="2" t="s">
        <v>5648</v>
      </c>
      <c r="F578" s="2" t="s">
        <v>1462</v>
      </c>
      <c r="G578" s="572">
        <v>263882188</v>
      </c>
      <c r="H578" s="2" t="s">
        <v>5378</v>
      </c>
      <c r="I578" s="2" t="s">
        <v>1462</v>
      </c>
      <c r="J578" s="2" t="s">
        <v>2982</v>
      </c>
      <c r="K578" s="5">
        <v>298.64</v>
      </c>
      <c r="L578" s="2">
        <v>629</v>
      </c>
      <c r="M578" s="5">
        <v>14</v>
      </c>
      <c r="N578" s="5">
        <v>20</v>
      </c>
      <c r="O578" s="2" t="s">
        <v>5578</v>
      </c>
      <c r="P578" s="2" t="s">
        <v>5855</v>
      </c>
      <c r="Q578" s="2" t="s">
        <v>5995</v>
      </c>
      <c r="R578" s="2" t="s">
        <v>5868</v>
      </c>
      <c r="S578" s="2" t="s">
        <v>6010</v>
      </c>
      <c r="T578" s="174" t="s">
        <v>5690</v>
      </c>
      <c r="U578" s="343" t="s">
        <v>6047</v>
      </c>
      <c r="V578" s="313" t="s">
        <v>6048</v>
      </c>
    </row>
    <row r="579" spans="1:22" ht="43.2" x14ac:dyDescent="0.3">
      <c r="A579" t="s">
        <v>60</v>
      </c>
      <c r="B579" s="261" t="s">
        <v>3346</v>
      </c>
      <c r="C579" s="252" t="s">
        <v>5928</v>
      </c>
      <c r="D579" s="252" t="s">
        <v>5892</v>
      </c>
      <c r="E579" s="251">
        <v>6001700478</v>
      </c>
      <c r="F579" s="252" t="s">
        <v>1318</v>
      </c>
      <c r="G579" s="252" t="s">
        <v>5982</v>
      </c>
      <c r="H579" s="252" t="s">
        <v>5914</v>
      </c>
      <c r="I579" s="252" t="s">
        <v>1318</v>
      </c>
      <c r="J579" s="252" t="s">
        <v>152</v>
      </c>
      <c r="K579" s="283">
        <v>20</v>
      </c>
      <c r="L579" s="252">
        <v>3600</v>
      </c>
      <c r="M579" s="252">
        <v>1</v>
      </c>
      <c r="N579" s="252">
        <v>20</v>
      </c>
      <c r="O579" s="252" t="s">
        <v>5857</v>
      </c>
      <c r="P579" s="252" t="s">
        <v>5929</v>
      </c>
      <c r="Q579" s="252" t="s">
        <v>6012</v>
      </c>
      <c r="R579" s="252" t="s">
        <v>121</v>
      </c>
      <c r="S579" s="252"/>
      <c r="T579" s="252"/>
      <c r="U579" s="303" t="s">
        <v>2772</v>
      </c>
      <c r="V579" s="282" t="s">
        <v>5862</v>
      </c>
    </row>
    <row r="580" spans="1:22" ht="57.6" x14ac:dyDescent="0.3">
      <c r="A580" t="s">
        <v>38</v>
      </c>
      <c r="B580" s="27" t="s">
        <v>4515</v>
      </c>
      <c r="C580" s="2" t="s">
        <v>5834</v>
      </c>
      <c r="D580" s="2" t="s">
        <v>5724</v>
      </c>
      <c r="E580" s="2" t="s">
        <v>5835</v>
      </c>
      <c r="F580" s="2" t="s">
        <v>5780</v>
      </c>
      <c r="G580" s="575" t="s">
        <v>5836</v>
      </c>
      <c r="H580" s="2" t="s">
        <v>5430</v>
      </c>
      <c r="I580" s="2" t="s">
        <v>1462</v>
      </c>
      <c r="J580" s="2" t="s">
        <v>5837</v>
      </c>
      <c r="K580" s="5">
        <v>271.04000000000002</v>
      </c>
      <c r="L580" s="44">
        <v>710</v>
      </c>
      <c r="M580" s="5">
        <v>13</v>
      </c>
      <c r="N580" s="5">
        <v>20</v>
      </c>
      <c r="O580" s="2" t="s">
        <v>5869</v>
      </c>
      <c r="P580" s="2" t="s">
        <v>5830</v>
      </c>
      <c r="Q580" s="2" t="s">
        <v>5995</v>
      </c>
      <c r="R580" s="2" t="s">
        <v>28</v>
      </c>
      <c r="S580" s="2" t="s">
        <v>28</v>
      </c>
      <c r="T580" s="411" t="s">
        <v>5838</v>
      </c>
      <c r="U580" s="343" t="s">
        <v>6063</v>
      </c>
      <c r="V580" s="343" t="s">
        <v>6056</v>
      </c>
    </row>
    <row r="581" spans="1:22" ht="43.2" x14ac:dyDescent="0.3">
      <c r="A581" t="s">
        <v>60</v>
      </c>
      <c r="B581" s="261" t="s">
        <v>5373</v>
      </c>
      <c r="C581" s="252" t="s">
        <v>5397</v>
      </c>
      <c r="D581" s="252"/>
      <c r="E581" s="252" t="s">
        <v>5775</v>
      </c>
      <c r="F581" s="252" t="s">
        <v>1462</v>
      </c>
      <c r="G581" s="261" t="s">
        <v>5776</v>
      </c>
      <c r="H581" s="252" t="s">
        <v>5780</v>
      </c>
      <c r="I581" s="252" t="s">
        <v>1462</v>
      </c>
      <c r="J581" s="252" t="s">
        <v>3157</v>
      </c>
      <c r="K581" s="283">
        <v>120.28</v>
      </c>
      <c r="L581" s="252">
        <v>577</v>
      </c>
      <c r="M581" s="252">
        <v>5</v>
      </c>
      <c r="N581" s="252">
        <v>20</v>
      </c>
      <c r="O581" s="252" t="s">
        <v>5765</v>
      </c>
      <c r="P581" s="252" t="s">
        <v>5929</v>
      </c>
      <c r="Q581" s="252" t="s">
        <v>6012</v>
      </c>
      <c r="R581" s="252" t="s">
        <v>6021</v>
      </c>
      <c r="S581" s="252"/>
      <c r="T581" s="253" t="s">
        <v>5965</v>
      </c>
      <c r="U581" s="282" t="s">
        <v>2772</v>
      </c>
      <c r="V581" s="282" t="s">
        <v>6028</v>
      </c>
    </row>
    <row r="582" spans="1:22" ht="28.8" x14ac:dyDescent="0.3">
      <c r="A582" t="s">
        <v>38</v>
      </c>
      <c r="B582" s="27" t="s">
        <v>157</v>
      </c>
      <c r="C582" s="2" t="s">
        <v>5827</v>
      </c>
      <c r="D582" s="2" t="s">
        <v>5791</v>
      </c>
      <c r="E582" s="19">
        <v>26011902</v>
      </c>
      <c r="F582" s="2" t="s">
        <v>1904</v>
      </c>
      <c r="G582" s="572">
        <v>266427419</v>
      </c>
      <c r="H582" s="2" t="s">
        <v>5612</v>
      </c>
      <c r="I582" s="2" t="s">
        <v>1904</v>
      </c>
      <c r="J582" s="2" t="s">
        <v>5828</v>
      </c>
      <c r="K582" s="5">
        <v>521.64700000000005</v>
      </c>
      <c r="L582" s="44">
        <v>533</v>
      </c>
      <c r="M582" s="5">
        <v>20</v>
      </c>
      <c r="N582" s="5">
        <v>40</v>
      </c>
      <c r="O582" s="2" t="s">
        <v>5829</v>
      </c>
      <c r="P582" s="2" t="s">
        <v>5830</v>
      </c>
      <c r="Q582" s="2" t="s">
        <v>5995</v>
      </c>
      <c r="R582" s="2" t="s">
        <v>5951</v>
      </c>
      <c r="S582" s="2" t="s">
        <v>6055</v>
      </c>
      <c r="T582" s="174" t="s">
        <v>5974</v>
      </c>
      <c r="U582" s="18" t="s">
        <v>38</v>
      </c>
      <c r="V582" s="18" t="s">
        <v>6012</v>
      </c>
    </row>
    <row r="583" spans="1:22" ht="41.4" x14ac:dyDescent="0.3">
      <c r="A583" t="s">
        <v>38</v>
      </c>
      <c r="B583" s="27" t="s">
        <v>3532</v>
      </c>
      <c r="C583" s="2" t="s">
        <v>5762</v>
      </c>
      <c r="D583" s="2" t="s">
        <v>5696</v>
      </c>
      <c r="E583" s="2" t="s">
        <v>5763</v>
      </c>
      <c r="F583" s="2" t="s">
        <v>1462</v>
      </c>
      <c r="G583" s="2" t="s">
        <v>5764</v>
      </c>
      <c r="H583" s="2" t="s">
        <v>5706</v>
      </c>
      <c r="I583" s="2" t="s">
        <v>1462</v>
      </c>
      <c r="J583" s="2" t="s">
        <v>2982</v>
      </c>
      <c r="K583" s="5">
        <v>222.45</v>
      </c>
      <c r="L583" s="44">
        <v>655</v>
      </c>
      <c r="M583" s="5">
        <v>10</v>
      </c>
      <c r="N583" s="5">
        <v>20</v>
      </c>
      <c r="O583" s="2" t="s">
        <v>5650</v>
      </c>
      <c r="P583" s="2" t="s">
        <v>5830</v>
      </c>
      <c r="Q583" s="2" t="s">
        <v>5995</v>
      </c>
      <c r="R583" s="2" t="s">
        <v>6045</v>
      </c>
      <c r="S583" s="571" t="s">
        <v>6031</v>
      </c>
      <c r="T583" s="174" t="s">
        <v>5984</v>
      </c>
      <c r="U583" s="18" t="s">
        <v>2772</v>
      </c>
      <c r="V583" s="18" t="s">
        <v>6012</v>
      </c>
    </row>
    <row r="584" spans="1:22" ht="43.2" x14ac:dyDescent="0.3">
      <c r="A584" t="s">
        <v>529</v>
      </c>
      <c r="B584" s="261" t="s">
        <v>2427</v>
      </c>
      <c r="C584" s="252" t="s">
        <v>5771</v>
      </c>
      <c r="D584" s="252" t="s">
        <v>5551</v>
      </c>
      <c r="E584" s="252" t="s">
        <v>5772</v>
      </c>
      <c r="F584" s="252" t="s">
        <v>1462</v>
      </c>
      <c r="G584" s="253" t="s">
        <v>5773</v>
      </c>
      <c r="H584" s="252" t="s">
        <v>5752</v>
      </c>
      <c r="I584" s="252" t="s">
        <v>1462</v>
      </c>
      <c r="J584" s="253" t="s">
        <v>3181</v>
      </c>
      <c r="K584" s="283">
        <v>199.43</v>
      </c>
      <c r="L584" s="252">
        <v>537</v>
      </c>
      <c r="M584" s="252">
        <v>8</v>
      </c>
      <c r="N584" s="252">
        <v>20</v>
      </c>
      <c r="O584" s="252" t="s">
        <v>5977</v>
      </c>
      <c r="P584" s="252" t="s">
        <v>5976</v>
      </c>
      <c r="Q584" s="252" t="s">
        <v>6026</v>
      </c>
      <c r="R584" s="252" t="s">
        <v>6035</v>
      </c>
      <c r="S584" s="252" t="s">
        <v>5784</v>
      </c>
      <c r="T584" s="261" t="s">
        <v>5794</v>
      </c>
      <c r="U584" s="315" t="s">
        <v>6057</v>
      </c>
      <c r="V584" s="315" t="s">
        <v>6058</v>
      </c>
    </row>
    <row r="585" spans="1:22" ht="57.6" x14ac:dyDescent="0.3">
      <c r="A585" t="s">
        <v>60</v>
      </c>
      <c r="B585" s="261" t="s">
        <v>5808</v>
      </c>
      <c r="C585" s="252" t="s">
        <v>3134</v>
      </c>
      <c r="D585" s="252"/>
      <c r="E585" s="252" t="s">
        <v>5809</v>
      </c>
      <c r="F585" s="252" t="s">
        <v>1232</v>
      </c>
      <c r="G585" s="252" t="s">
        <v>5842</v>
      </c>
      <c r="H585" s="252" t="s">
        <v>5743</v>
      </c>
      <c r="I585" s="252" t="s">
        <v>1232</v>
      </c>
      <c r="J585" s="253" t="s">
        <v>1234</v>
      </c>
      <c r="K585" s="283">
        <v>27</v>
      </c>
      <c r="L585" s="252">
        <v>1110</v>
      </c>
      <c r="M585" s="252">
        <v>1</v>
      </c>
      <c r="N585" s="252">
        <v>40</v>
      </c>
      <c r="O585" s="252" t="s">
        <v>5741</v>
      </c>
      <c r="P585" s="252" t="s">
        <v>5985</v>
      </c>
      <c r="Q585" s="252" t="s">
        <v>6053</v>
      </c>
      <c r="R585" s="252" t="s">
        <v>6043</v>
      </c>
      <c r="S585" s="252" t="s">
        <v>6054</v>
      </c>
      <c r="T585" s="252"/>
      <c r="U585" s="420" t="s">
        <v>2772</v>
      </c>
      <c r="V585" s="282" t="s">
        <v>6049</v>
      </c>
    </row>
    <row r="586" spans="1:22" ht="43.2" x14ac:dyDescent="0.3">
      <c r="A586" t="s">
        <v>60</v>
      </c>
      <c r="B586" s="261" t="s">
        <v>2427</v>
      </c>
      <c r="C586" s="252" t="s">
        <v>5574</v>
      </c>
      <c r="D586" s="252" t="s">
        <v>5575</v>
      </c>
      <c r="E586" s="252" t="s">
        <v>5768</v>
      </c>
      <c r="F586" s="252" t="s">
        <v>1462</v>
      </c>
      <c r="G586" s="253" t="s">
        <v>5769</v>
      </c>
      <c r="H586" s="252" t="s">
        <v>5752</v>
      </c>
      <c r="I586" s="252" t="s">
        <v>1462</v>
      </c>
      <c r="J586" s="252" t="s">
        <v>3181</v>
      </c>
      <c r="K586" s="283">
        <v>74.94</v>
      </c>
      <c r="L586" s="252">
        <v>510</v>
      </c>
      <c r="M586" s="252">
        <v>3</v>
      </c>
      <c r="N586" s="252">
        <v>20</v>
      </c>
      <c r="O586" s="252" t="s">
        <v>5765</v>
      </c>
      <c r="P586" s="252" t="s">
        <v>6027</v>
      </c>
      <c r="Q586" s="252" t="s">
        <v>6030</v>
      </c>
      <c r="R586" s="252" t="s">
        <v>6035</v>
      </c>
      <c r="S586" s="252"/>
      <c r="T586" s="253" t="s">
        <v>5964</v>
      </c>
      <c r="U586" s="282" t="s">
        <v>38</v>
      </c>
      <c r="V586" s="282" t="s">
        <v>6049</v>
      </c>
    </row>
    <row r="587" spans="1:22" ht="86.4" x14ac:dyDescent="0.3">
      <c r="A587" t="s">
        <v>38</v>
      </c>
      <c r="B587" s="27" t="s">
        <v>5425</v>
      </c>
      <c r="C587" s="2" t="s">
        <v>5501</v>
      </c>
      <c r="D587" s="2" t="s">
        <v>5502</v>
      </c>
      <c r="E587" s="2" t="s">
        <v>5503</v>
      </c>
      <c r="F587" s="2" t="s">
        <v>1904</v>
      </c>
      <c r="G587" s="4">
        <v>263910247</v>
      </c>
      <c r="H587" s="2" t="s">
        <v>5359</v>
      </c>
      <c r="I587" s="2" t="s">
        <v>1904</v>
      </c>
      <c r="J587" s="2" t="s">
        <v>5429</v>
      </c>
      <c r="K587" s="5">
        <v>21.09</v>
      </c>
      <c r="L587" s="2">
        <v>548</v>
      </c>
      <c r="M587" s="5">
        <v>1</v>
      </c>
      <c r="N587" s="5">
        <v>20</v>
      </c>
      <c r="O587" s="2" t="s">
        <v>5701</v>
      </c>
      <c r="P587" s="2" t="s">
        <v>6027</v>
      </c>
      <c r="Q587" s="2" t="s">
        <v>6030</v>
      </c>
      <c r="R587" s="2" t="s">
        <v>6045</v>
      </c>
      <c r="S587" s="266" t="s">
        <v>5996</v>
      </c>
      <c r="T587" s="174" t="s">
        <v>5886</v>
      </c>
      <c r="U587" s="18" t="s">
        <v>38</v>
      </c>
      <c r="V587" s="18" t="s">
        <v>6049</v>
      </c>
    </row>
    <row r="588" spans="1:22" ht="72" x14ac:dyDescent="0.3">
      <c r="A588" t="s">
        <v>38</v>
      </c>
      <c r="B588" s="27" t="s">
        <v>5682</v>
      </c>
      <c r="C588" s="2" t="s">
        <v>5683</v>
      </c>
      <c r="D588" s="2" t="s">
        <v>5684</v>
      </c>
      <c r="E588" s="19">
        <v>621031</v>
      </c>
      <c r="F588" s="2" t="s">
        <v>1702</v>
      </c>
      <c r="G588" s="2" t="s">
        <v>6029</v>
      </c>
      <c r="H588" s="2" t="s">
        <v>5606</v>
      </c>
      <c r="I588" s="2" t="s">
        <v>1702</v>
      </c>
      <c r="J588" s="2" t="s">
        <v>5685</v>
      </c>
      <c r="K588" s="5">
        <v>319.8</v>
      </c>
      <c r="L588" s="44">
        <v>621</v>
      </c>
      <c r="M588" s="5" t="s">
        <v>6070</v>
      </c>
      <c r="N588" s="5">
        <v>20</v>
      </c>
      <c r="O588" s="2" t="s">
        <v>5942</v>
      </c>
      <c r="P588" s="2" t="s">
        <v>5783</v>
      </c>
      <c r="Q588" s="2" t="s">
        <v>5885</v>
      </c>
      <c r="R588" s="2" t="s">
        <v>6045</v>
      </c>
      <c r="T588" s="174" t="s">
        <v>5968</v>
      </c>
      <c r="U588" s="315" t="s">
        <v>6071</v>
      </c>
      <c r="V588" s="315" t="s">
        <v>6072</v>
      </c>
    </row>
    <row r="589" spans="1:22" ht="72" x14ac:dyDescent="0.3">
      <c r="A589" s="251">
        <v>26020408</v>
      </c>
      <c r="B589" s="261" t="s">
        <v>157</v>
      </c>
      <c r="C589" s="252" t="s">
        <v>5989</v>
      </c>
      <c r="D589" s="252"/>
      <c r="E589" s="251">
        <v>26032401</v>
      </c>
      <c r="F589" s="252" t="s">
        <v>1272</v>
      </c>
      <c r="G589" s="252" t="s">
        <v>5853</v>
      </c>
      <c r="H589" s="252" t="s">
        <v>5735</v>
      </c>
      <c r="I589" s="252" t="s">
        <v>1272</v>
      </c>
      <c r="J589" s="252" t="s">
        <v>5813</v>
      </c>
      <c r="K589" s="283">
        <v>100</v>
      </c>
      <c r="L589" s="252">
        <v>940</v>
      </c>
      <c r="M589" s="252">
        <v>4</v>
      </c>
      <c r="N589" s="252">
        <v>20</v>
      </c>
      <c r="O589" s="252" t="s">
        <v>5546</v>
      </c>
      <c r="P589" s="252" t="s">
        <v>6027</v>
      </c>
      <c r="Q589" s="252" t="s">
        <v>6030</v>
      </c>
      <c r="R589" s="252" t="s">
        <v>724</v>
      </c>
      <c r="S589" s="252"/>
      <c r="T589" s="261" t="s">
        <v>5913</v>
      </c>
      <c r="U589" s="282" t="s">
        <v>38</v>
      </c>
      <c r="V589" s="282" t="s">
        <v>6053</v>
      </c>
    </row>
    <row r="590" spans="1:22" ht="43.2" x14ac:dyDescent="0.3">
      <c r="A590" t="s">
        <v>60</v>
      </c>
      <c r="B590" s="261" t="s">
        <v>5754</v>
      </c>
      <c r="C590" s="252" t="s">
        <v>5755</v>
      </c>
      <c r="D590" s="252" t="s">
        <v>5667</v>
      </c>
      <c r="E590" s="252" t="s">
        <v>5756</v>
      </c>
      <c r="F590" s="252" t="s">
        <v>1462</v>
      </c>
      <c r="G590" s="261" t="s">
        <v>5774</v>
      </c>
      <c r="H590" s="252" t="s">
        <v>5742</v>
      </c>
      <c r="I590" s="252" t="s">
        <v>1462</v>
      </c>
      <c r="J590" s="252" t="s">
        <v>5601</v>
      </c>
      <c r="K590" s="283">
        <v>171.95</v>
      </c>
      <c r="L590" s="252">
        <v>600</v>
      </c>
      <c r="M590" s="252">
        <v>7</v>
      </c>
      <c r="N590" s="252">
        <v>20</v>
      </c>
      <c r="O590" s="252" t="s">
        <v>5977</v>
      </c>
      <c r="P590" s="252" t="s">
        <v>5991</v>
      </c>
      <c r="Q590" s="252" t="s">
        <v>6042</v>
      </c>
      <c r="R590" s="252" t="s">
        <v>724</v>
      </c>
      <c r="S590" s="252"/>
      <c r="T590" s="253" t="s">
        <v>5962</v>
      </c>
      <c r="U590" s="282" t="s">
        <v>6088</v>
      </c>
      <c r="V590" s="282" t="s">
        <v>6087</v>
      </c>
    </row>
    <row r="591" spans="1:22" ht="57.6" x14ac:dyDescent="0.3">
      <c r="A591" t="s">
        <v>38</v>
      </c>
      <c r="B591" s="27" t="s">
        <v>3532</v>
      </c>
      <c r="C591" s="2" t="s">
        <v>5722</v>
      </c>
      <c r="D591" s="2" t="s">
        <v>5696</v>
      </c>
      <c r="E591" s="2" t="s">
        <v>5645</v>
      </c>
      <c r="F591" s="2" t="s">
        <v>1462</v>
      </c>
      <c r="G591" s="2" t="s">
        <v>5879</v>
      </c>
      <c r="H591" s="2" t="s">
        <v>5646</v>
      </c>
      <c r="I591" s="2" t="s">
        <v>1462</v>
      </c>
      <c r="J591" s="2" t="s">
        <v>2982</v>
      </c>
      <c r="K591" s="5">
        <v>310.14999999999998</v>
      </c>
      <c r="L591" s="2">
        <v>658</v>
      </c>
      <c r="M591" s="5">
        <v>14</v>
      </c>
      <c r="N591" s="5">
        <v>20</v>
      </c>
      <c r="O591" s="2" t="s">
        <v>5942</v>
      </c>
      <c r="P591" s="2" t="s">
        <v>5991</v>
      </c>
      <c r="Q591" s="2" t="s">
        <v>6042</v>
      </c>
      <c r="R591" s="2" t="s">
        <v>6044</v>
      </c>
      <c r="S591" s="2"/>
      <c r="T591" s="174" t="s">
        <v>5984</v>
      </c>
      <c r="U591" s="343" t="s">
        <v>6090</v>
      </c>
      <c r="V591" s="343" t="s">
        <v>6091</v>
      </c>
    </row>
    <row r="592" spans="1:22" ht="43.2" x14ac:dyDescent="0.3">
      <c r="A592" t="s">
        <v>60</v>
      </c>
      <c r="B592" s="261" t="s">
        <v>2864</v>
      </c>
      <c r="C592" s="252" t="s">
        <v>5397</v>
      </c>
      <c r="D592" s="252"/>
      <c r="E592" s="2" t="s">
        <v>5723</v>
      </c>
      <c r="F592" s="252" t="s">
        <v>1462</v>
      </c>
      <c r="G592" s="488">
        <v>267548729</v>
      </c>
      <c r="H592" s="252" t="s">
        <v>5724</v>
      </c>
      <c r="I592" s="252" t="s">
        <v>1462</v>
      </c>
      <c r="J592" s="252" t="s">
        <v>3181</v>
      </c>
      <c r="K592" s="283">
        <v>105.79</v>
      </c>
      <c r="L592" s="252">
        <v>635</v>
      </c>
      <c r="M592" s="252">
        <v>4</v>
      </c>
      <c r="N592" s="252">
        <v>20</v>
      </c>
      <c r="O592" s="252" t="s">
        <v>5865</v>
      </c>
      <c r="P592" s="252" t="s">
        <v>5985</v>
      </c>
      <c r="Q592" s="252" t="s">
        <v>6024</v>
      </c>
      <c r="R592" s="252" t="s">
        <v>6075</v>
      </c>
      <c r="S592" s="252"/>
      <c r="T592" s="253" t="s">
        <v>6065</v>
      </c>
      <c r="U592" s="568" t="s">
        <v>38</v>
      </c>
      <c r="V592" s="282" t="s">
        <v>6093</v>
      </c>
    </row>
    <row r="593" spans="1:22" ht="43.2" x14ac:dyDescent="0.3">
      <c r="A593" t="s">
        <v>60</v>
      </c>
      <c r="B593" s="261" t="s">
        <v>2427</v>
      </c>
      <c r="C593" s="252" t="s">
        <v>5831</v>
      </c>
      <c r="D593" s="252" t="s">
        <v>5700</v>
      </c>
      <c r="E593" s="252" t="s">
        <v>5832</v>
      </c>
      <c r="F593" s="252" t="s">
        <v>1462</v>
      </c>
      <c r="G593" s="251">
        <v>267241114</v>
      </c>
      <c r="H593" s="252" t="s">
        <v>5778</v>
      </c>
      <c r="I593" s="252" t="s">
        <v>1462</v>
      </c>
      <c r="J593" s="252" t="s">
        <v>3181</v>
      </c>
      <c r="K593" s="283">
        <v>174.36</v>
      </c>
      <c r="L593" s="252">
        <v>614</v>
      </c>
      <c r="M593" s="252">
        <v>7</v>
      </c>
      <c r="N593" s="252">
        <v>20</v>
      </c>
      <c r="O593" s="252" t="s">
        <v>5858</v>
      </c>
      <c r="P593" s="252" t="s">
        <v>6012</v>
      </c>
      <c r="Q593" s="252" t="s">
        <v>6068</v>
      </c>
      <c r="R593" s="252" t="s">
        <v>6076</v>
      </c>
      <c r="S593" s="252" t="s">
        <v>5784</v>
      </c>
      <c r="T593" s="253" t="s">
        <v>6081</v>
      </c>
      <c r="U593" s="282" t="s">
        <v>5381</v>
      </c>
      <c r="V593" s="282" t="s">
        <v>5866</v>
      </c>
    </row>
    <row r="594" spans="1:22" x14ac:dyDescent="0.3">
      <c r="A594" t="s">
        <v>55</v>
      </c>
      <c r="B594" s="27" t="s">
        <v>3346</v>
      </c>
      <c r="C594" s="2" t="s">
        <v>5997</v>
      </c>
      <c r="D594" s="2" t="s">
        <v>5741</v>
      </c>
      <c r="E594" s="19">
        <v>6001710346</v>
      </c>
      <c r="F594" s="2" t="s">
        <v>1318</v>
      </c>
      <c r="G594" s="2" t="s">
        <v>5998</v>
      </c>
      <c r="H594" s="2" t="s">
        <v>5765</v>
      </c>
      <c r="I594" s="2" t="s">
        <v>1318</v>
      </c>
      <c r="J594" s="2" t="s">
        <v>152</v>
      </c>
      <c r="K594" s="5">
        <v>40</v>
      </c>
      <c r="L594" s="44">
        <v>4600</v>
      </c>
      <c r="M594" s="5">
        <v>2</v>
      </c>
      <c r="N594" s="5">
        <v>20</v>
      </c>
      <c r="O594" s="2" t="s">
        <v>5862</v>
      </c>
      <c r="P594" s="2" t="s">
        <v>6042</v>
      </c>
      <c r="Q594" s="2" t="s">
        <v>5921</v>
      </c>
      <c r="R594" s="2" t="s">
        <v>6062</v>
      </c>
      <c r="S594" s="2"/>
      <c r="T594" s="2"/>
      <c r="U594" t="s">
        <v>55</v>
      </c>
      <c r="V594" t="s">
        <v>6104</v>
      </c>
    </row>
    <row r="595" spans="1:22" ht="43.2" x14ac:dyDescent="0.3">
      <c r="A595" t="s">
        <v>344</v>
      </c>
      <c r="B595" s="261" t="s">
        <v>2427</v>
      </c>
      <c r="C595" s="252" t="s">
        <v>5938</v>
      </c>
      <c r="D595" s="252" t="s">
        <v>5739</v>
      </c>
      <c r="E595" s="252" t="s">
        <v>5939</v>
      </c>
      <c r="F595" s="252" t="s">
        <v>1462</v>
      </c>
      <c r="G595" s="251">
        <v>268914319</v>
      </c>
      <c r="H595" s="252" t="s">
        <v>5778</v>
      </c>
      <c r="I595" s="252" t="s">
        <v>1462</v>
      </c>
      <c r="J595" s="252" t="s">
        <v>3181</v>
      </c>
      <c r="K595" s="283">
        <v>202.54</v>
      </c>
      <c r="L595" s="252">
        <v>615</v>
      </c>
      <c r="M595" s="252">
        <v>8</v>
      </c>
      <c r="N595" s="252">
        <v>20</v>
      </c>
      <c r="O595" s="252" t="s">
        <v>5546</v>
      </c>
      <c r="P595" s="252" t="s">
        <v>6046</v>
      </c>
      <c r="Q595" s="252" t="s">
        <v>5986</v>
      </c>
      <c r="R595" s="252" t="s">
        <v>6069</v>
      </c>
      <c r="S595" s="252" t="s">
        <v>5784</v>
      </c>
      <c r="T595" s="252" t="s">
        <v>5940</v>
      </c>
      <c r="U595" s="282" t="s">
        <v>5303</v>
      </c>
      <c r="V595" s="282" t="s">
        <v>6119</v>
      </c>
    </row>
    <row r="596" spans="1:22" ht="57.6" x14ac:dyDescent="0.3">
      <c r="A596" t="s">
        <v>344</v>
      </c>
      <c r="B596" s="261" t="s">
        <v>2427</v>
      </c>
      <c r="C596" s="252" t="s">
        <v>5749</v>
      </c>
      <c r="D596" s="252" t="s">
        <v>5699</v>
      </c>
      <c r="E596" s="252" t="s">
        <v>5750</v>
      </c>
      <c r="F596" s="252" t="s">
        <v>2998</v>
      </c>
      <c r="G596" s="252" t="s">
        <v>5751</v>
      </c>
      <c r="H596" s="252" t="s">
        <v>5701</v>
      </c>
      <c r="I596" s="252" t="s">
        <v>2998</v>
      </c>
      <c r="J596" s="252" t="s">
        <v>87</v>
      </c>
      <c r="K596" s="283" t="s">
        <v>6097</v>
      </c>
      <c r="L596" s="252">
        <v>537</v>
      </c>
      <c r="M596" s="252" t="s">
        <v>6094</v>
      </c>
      <c r="N596" s="252">
        <v>20</v>
      </c>
      <c r="O596" s="252" t="s">
        <v>6027</v>
      </c>
      <c r="P596" s="252" t="s">
        <v>5885</v>
      </c>
      <c r="Q596" s="252" t="s">
        <v>6100</v>
      </c>
      <c r="R596" s="535" t="s">
        <v>6101</v>
      </c>
      <c r="S596" s="252" t="s">
        <v>6086</v>
      </c>
      <c r="T596" s="253" t="s">
        <v>5961</v>
      </c>
      <c r="U596" s="282" t="s">
        <v>6122</v>
      </c>
      <c r="V596" s="282" t="s">
        <v>6123</v>
      </c>
    </row>
    <row r="597" spans="1:22" ht="43.2" x14ac:dyDescent="0.3">
      <c r="A597" t="s">
        <v>344</v>
      </c>
      <c r="B597" s="261" t="s">
        <v>157</v>
      </c>
      <c r="C597" s="252" t="s">
        <v>5989</v>
      </c>
      <c r="D597" s="252"/>
      <c r="E597" s="251">
        <v>26020408</v>
      </c>
      <c r="F597" s="252" t="s">
        <v>4577</v>
      </c>
      <c r="G597" s="253" t="s">
        <v>5850</v>
      </c>
      <c r="H597" s="252" t="s">
        <v>5782</v>
      </c>
      <c r="I597" s="252" t="s">
        <v>4577</v>
      </c>
      <c r="J597" s="252" t="s">
        <v>5790</v>
      </c>
      <c r="K597" s="283">
        <v>75.06</v>
      </c>
      <c r="L597" s="252">
        <v>970</v>
      </c>
      <c r="M597" s="252">
        <v>3</v>
      </c>
      <c r="N597" s="252">
        <v>20</v>
      </c>
      <c r="O597" s="252" t="s">
        <v>6027</v>
      </c>
      <c r="P597" s="252" t="s">
        <v>5885</v>
      </c>
      <c r="Q597" s="252" t="s">
        <v>5986</v>
      </c>
      <c r="R597" s="252" t="s">
        <v>6102</v>
      </c>
      <c r="S597" s="252" t="s">
        <v>6064</v>
      </c>
      <c r="T597" s="253" t="s">
        <v>5966</v>
      </c>
      <c r="U597" s="282" t="s">
        <v>6120</v>
      </c>
      <c r="V597" s="282" t="s">
        <v>5986</v>
      </c>
    </row>
    <row r="598" spans="1:22" ht="43.2" x14ac:dyDescent="0.3">
      <c r="A598" t="s">
        <v>60</v>
      </c>
      <c r="B598" s="254" t="s">
        <v>2427</v>
      </c>
      <c r="C598" s="546" t="s">
        <v>5516</v>
      </c>
      <c r="D598" s="535" t="s">
        <v>5517</v>
      </c>
      <c r="E598" s="559" t="s">
        <v>5518</v>
      </c>
      <c r="F598" s="268" t="s">
        <v>1462</v>
      </c>
      <c r="G598" s="268" t="s">
        <v>5748</v>
      </c>
      <c r="H598" s="535" t="s">
        <v>5612</v>
      </c>
      <c r="I598" s="535" t="s">
        <v>5670</v>
      </c>
      <c r="J598" s="535" t="s">
        <v>3697</v>
      </c>
      <c r="K598" s="564">
        <v>263.92</v>
      </c>
      <c r="L598" s="535">
        <v>540</v>
      </c>
      <c r="M598" s="268">
        <v>11</v>
      </c>
      <c r="N598" s="535">
        <v>20</v>
      </c>
      <c r="O598" s="535" t="s">
        <v>5783</v>
      </c>
      <c r="P598" s="535" t="s">
        <v>5885</v>
      </c>
      <c r="Q598" s="535" t="s">
        <v>6100</v>
      </c>
      <c r="R598" s="535" t="s">
        <v>6106</v>
      </c>
      <c r="S598" s="535" t="s">
        <v>6121</v>
      </c>
      <c r="T598" s="268" t="s">
        <v>6023</v>
      </c>
      <c r="U598" s="282" t="s">
        <v>6127</v>
      </c>
      <c r="V598" s="282" t="s">
        <v>6128</v>
      </c>
    </row>
    <row r="599" spans="1:22" ht="43.2" x14ac:dyDescent="0.3">
      <c r="A599" t="s">
        <v>529</v>
      </c>
      <c r="B599" s="261" t="s">
        <v>2864</v>
      </c>
      <c r="C599" s="252" t="s">
        <v>5725</v>
      </c>
      <c r="D599" s="252"/>
      <c r="E599" s="252" t="s">
        <v>5726</v>
      </c>
      <c r="F599" s="252" t="s">
        <v>1462</v>
      </c>
      <c r="G599" s="488">
        <v>265541050</v>
      </c>
      <c r="H599" s="252" t="s">
        <v>5578</v>
      </c>
      <c r="I599" s="252" t="s">
        <v>1462</v>
      </c>
      <c r="J599" s="252" t="s">
        <v>3181</v>
      </c>
      <c r="K599" s="283">
        <v>104.91</v>
      </c>
      <c r="L599" s="252">
        <v>635</v>
      </c>
      <c r="M599" s="252">
        <v>4</v>
      </c>
      <c r="N599" s="252">
        <v>20</v>
      </c>
      <c r="O599" s="252" t="s">
        <v>5930</v>
      </c>
      <c r="P599" s="252" t="s">
        <v>6030</v>
      </c>
      <c r="Q599" s="252" t="s">
        <v>6098</v>
      </c>
      <c r="R599" s="252" t="s">
        <v>6099</v>
      </c>
      <c r="S599" s="252"/>
      <c r="T599" s="253" t="s">
        <v>6066</v>
      </c>
      <c r="U599" s="282" t="s">
        <v>2772</v>
      </c>
      <c r="V599" s="282" t="s">
        <v>5921</v>
      </c>
    </row>
    <row r="600" spans="1:22" ht="43.2" x14ac:dyDescent="0.3">
      <c r="A600" t="s">
        <v>60</v>
      </c>
      <c r="B600" s="261" t="s">
        <v>2427</v>
      </c>
      <c r="C600" s="252" t="s">
        <v>5864</v>
      </c>
      <c r="D600" s="252" t="s">
        <v>5724</v>
      </c>
      <c r="E600" s="251" t="s">
        <v>5923</v>
      </c>
      <c r="F600" s="252" t="s">
        <v>1462</v>
      </c>
      <c r="G600" s="251">
        <v>268768721</v>
      </c>
      <c r="H600" s="252" t="s">
        <v>5724</v>
      </c>
      <c r="I600" s="252" t="s">
        <v>1462</v>
      </c>
      <c r="J600" s="252" t="s">
        <v>3181</v>
      </c>
      <c r="K600" s="283">
        <v>252.14</v>
      </c>
      <c r="L600" s="252">
        <v>601</v>
      </c>
      <c r="M600" s="252">
        <v>10</v>
      </c>
      <c r="N600" s="252">
        <v>20</v>
      </c>
      <c r="O600" s="252" t="s">
        <v>5765</v>
      </c>
      <c r="P600" s="252" t="s">
        <v>6030</v>
      </c>
      <c r="Q600" s="252" t="s">
        <v>6098</v>
      </c>
      <c r="R600" s="252" t="s">
        <v>724</v>
      </c>
      <c r="S600" s="252" t="s">
        <v>6060</v>
      </c>
      <c r="T600" s="253" t="s">
        <v>5967</v>
      </c>
      <c r="U600" s="282" t="s">
        <v>5381</v>
      </c>
      <c r="V600" s="282" t="s">
        <v>6100</v>
      </c>
    </row>
    <row r="601" spans="1:22" ht="43.2" x14ac:dyDescent="0.3">
      <c r="A601" t="s">
        <v>529</v>
      </c>
      <c r="B601" s="261" t="s">
        <v>2427</v>
      </c>
      <c r="C601" s="252" t="s">
        <v>5992</v>
      </c>
      <c r="D601" s="252" t="s">
        <v>5922</v>
      </c>
      <c r="E601" s="252" t="s">
        <v>5994</v>
      </c>
      <c r="F601" s="252" t="s">
        <v>1462</v>
      </c>
      <c r="G601" s="251">
        <v>267248110</v>
      </c>
      <c r="H601" s="252" t="s">
        <v>5649</v>
      </c>
      <c r="I601" s="252" t="s">
        <v>1462</v>
      </c>
      <c r="J601" s="252" t="s">
        <v>3181</v>
      </c>
      <c r="K601" s="283">
        <v>149.63999999999999</v>
      </c>
      <c r="L601" s="252">
        <v>570</v>
      </c>
      <c r="M601" s="252">
        <v>6</v>
      </c>
      <c r="N601" s="252">
        <v>20</v>
      </c>
      <c r="O601" s="252" t="s">
        <v>5922</v>
      </c>
      <c r="P601" s="252" t="s">
        <v>6030</v>
      </c>
      <c r="Q601" s="252" t="s">
        <v>6098</v>
      </c>
      <c r="R601" s="252" t="s">
        <v>724</v>
      </c>
      <c r="S601" s="252" t="s">
        <v>6059</v>
      </c>
      <c r="T601" s="252" t="s">
        <v>5993</v>
      </c>
      <c r="U601" s="282" t="s">
        <v>2772</v>
      </c>
      <c r="V601" s="282" t="s">
        <v>6100</v>
      </c>
    </row>
    <row r="602" spans="1:22" ht="57.6" x14ac:dyDescent="0.3">
      <c r="A602" t="s">
        <v>55</v>
      </c>
      <c r="B602" s="27" t="s">
        <v>2427</v>
      </c>
      <c r="C602" s="2" t="s">
        <v>5894</v>
      </c>
      <c r="D602" s="2" t="s">
        <v>5431</v>
      </c>
      <c r="E602" s="2" t="s">
        <v>5893</v>
      </c>
      <c r="F602" s="2" t="s">
        <v>1462</v>
      </c>
      <c r="G602" s="19">
        <v>263196602</v>
      </c>
      <c r="H602" s="2" t="s">
        <v>5782</v>
      </c>
      <c r="I602" s="2" t="s">
        <v>1462</v>
      </c>
      <c r="J602" s="2" t="s">
        <v>137</v>
      </c>
      <c r="K602" s="5">
        <v>250.94</v>
      </c>
      <c r="L602" s="44">
        <v>630</v>
      </c>
      <c r="M602" s="5">
        <v>12</v>
      </c>
      <c r="N602" s="5">
        <v>20</v>
      </c>
      <c r="O602" s="2" t="s">
        <v>5976</v>
      </c>
      <c r="P602" s="2" t="s">
        <v>5986</v>
      </c>
      <c r="Q602" s="2" t="s">
        <v>6067</v>
      </c>
      <c r="R602" s="2" t="s">
        <v>6041</v>
      </c>
      <c r="S602" s="2" t="s">
        <v>5634</v>
      </c>
      <c r="T602" s="266" t="s">
        <v>6000</v>
      </c>
      <c r="U602" s="343" t="s">
        <v>6144</v>
      </c>
      <c r="V602" s="343" t="s">
        <v>6145</v>
      </c>
    </row>
    <row r="603" spans="1:22" ht="57.6" x14ac:dyDescent="0.3">
      <c r="A603" t="s">
        <v>60</v>
      </c>
      <c r="B603" s="261" t="s">
        <v>2427</v>
      </c>
      <c r="C603" s="252" t="s">
        <v>5766</v>
      </c>
      <c r="D603" s="252" t="s">
        <v>5447</v>
      </c>
      <c r="E603" s="252" t="s">
        <v>5767</v>
      </c>
      <c r="F603" s="252" t="s">
        <v>1462</v>
      </c>
      <c r="G603" s="251">
        <v>265797644</v>
      </c>
      <c r="H603" s="252" t="s">
        <v>5447</v>
      </c>
      <c r="I603" s="252" t="s">
        <v>1462</v>
      </c>
      <c r="J603" s="252" t="s">
        <v>3181</v>
      </c>
      <c r="K603" s="283">
        <v>248.31</v>
      </c>
      <c r="L603" s="252">
        <v>601</v>
      </c>
      <c r="M603" s="252">
        <v>10</v>
      </c>
      <c r="N603" s="252">
        <v>20</v>
      </c>
      <c r="O603" s="252" t="s">
        <v>5937</v>
      </c>
      <c r="P603" s="252" t="s">
        <v>6024</v>
      </c>
      <c r="Q603" s="252" t="s">
        <v>6118</v>
      </c>
      <c r="R603" s="252" t="s">
        <v>6133</v>
      </c>
      <c r="S603" s="252" t="s">
        <v>5784</v>
      </c>
      <c r="T603" s="253" t="s">
        <v>5963</v>
      </c>
      <c r="U603" s="282" t="s">
        <v>6142</v>
      </c>
      <c r="V603" s="282" t="s">
        <v>6143</v>
      </c>
    </row>
    <row r="604" spans="1:22" ht="43.2" x14ac:dyDescent="0.3">
      <c r="A604" t="s">
        <v>55</v>
      </c>
      <c r="B604" s="25" t="s">
        <v>5682</v>
      </c>
      <c r="C604" s="2" t="s">
        <v>5683</v>
      </c>
      <c r="D604" s="2" t="s">
        <v>5684</v>
      </c>
      <c r="E604" s="19">
        <v>621031</v>
      </c>
      <c r="F604" s="2" t="s">
        <v>1702</v>
      </c>
      <c r="G604" s="2" t="s">
        <v>6029</v>
      </c>
      <c r="H604" s="2" t="s">
        <v>5606</v>
      </c>
      <c r="I604" s="2" t="s">
        <v>1702</v>
      </c>
      <c r="J604" s="2" t="s">
        <v>5685</v>
      </c>
      <c r="K604" s="5">
        <v>21.32</v>
      </c>
      <c r="L604" s="44">
        <v>621</v>
      </c>
      <c r="M604" s="5">
        <v>1</v>
      </c>
      <c r="N604" s="5">
        <v>20</v>
      </c>
      <c r="O604" s="2" t="s">
        <v>5942</v>
      </c>
      <c r="P604" s="2" t="s">
        <v>6098</v>
      </c>
      <c r="Q604" s="2">
        <v>14</v>
      </c>
      <c r="R604" s="266" t="s">
        <v>6073</v>
      </c>
      <c r="S604" s="2"/>
      <c r="T604" s="174" t="s">
        <v>5841</v>
      </c>
      <c r="U604" s="282" t="s">
        <v>38</v>
      </c>
      <c r="V604" s="282" t="s">
        <v>6140</v>
      </c>
    </row>
    <row r="605" spans="1:22" ht="57.6" x14ac:dyDescent="0.3">
      <c r="A605" s="1" t="s">
        <v>55</v>
      </c>
      <c r="B605" s="27" t="s">
        <v>5356</v>
      </c>
      <c r="C605" s="2" t="s">
        <v>5884</v>
      </c>
      <c r="D605" s="2" t="s">
        <v>5715</v>
      </c>
      <c r="E605" s="19">
        <v>2399</v>
      </c>
      <c r="F605" s="2" t="s">
        <v>1904</v>
      </c>
      <c r="G605" s="331">
        <v>269134767</v>
      </c>
      <c r="H605" s="2" t="s">
        <v>5649</v>
      </c>
      <c r="I605" s="2" t="s">
        <v>1904</v>
      </c>
      <c r="J605" s="2" t="s">
        <v>5861</v>
      </c>
      <c r="K605" s="5">
        <v>1049.0550000000001</v>
      </c>
      <c r="L605" s="44">
        <v>529</v>
      </c>
      <c r="M605" s="5">
        <v>40</v>
      </c>
      <c r="N605" s="5">
        <v>40</v>
      </c>
      <c r="O605" s="2" t="s">
        <v>5995</v>
      </c>
      <c r="P605" s="2" t="s">
        <v>6141</v>
      </c>
      <c r="Q605" s="2" t="s">
        <v>6146</v>
      </c>
      <c r="R605" s="2" t="s">
        <v>28</v>
      </c>
      <c r="S605" s="2" t="s">
        <v>6074</v>
      </c>
      <c r="T605" s="411" t="s">
        <v>5896</v>
      </c>
      <c r="U605" s="343" t="s">
        <v>6171</v>
      </c>
      <c r="V605" s="343" t="s">
        <v>6172</v>
      </c>
    </row>
    <row r="606" spans="1:22" ht="57.6" x14ac:dyDescent="0.3">
      <c r="A606" t="s">
        <v>245</v>
      </c>
      <c r="B606" s="261" t="s">
        <v>5924</v>
      </c>
      <c r="C606" s="252" t="s">
        <v>5925</v>
      </c>
      <c r="D606" s="252" t="s">
        <v>5926</v>
      </c>
      <c r="E606" s="252" t="s">
        <v>5927</v>
      </c>
      <c r="F606" s="252" t="s">
        <v>1462</v>
      </c>
      <c r="G606" s="251">
        <v>269865403</v>
      </c>
      <c r="H606" s="252" t="s">
        <v>5650</v>
      </c>
      <c r="I606" s="252" t="s">
        <v>1462</v>
      </c>
      <c r="J606" s="252" t="s">
        <v>3157</v>
      </c>
      <c r="K606" s="283">
        <v>122.92</v>
      </c>
      <c r="L606" s="252">
        <v>605</v>
      </c>
      <c r="M606" s="252">
        <v>5</v>
      </c>
      <c r="N606" s="252">
        <v>20</v>
      </c>
      <c r="O606" s="252" t="s">
        <v>5870</v>
      </c>
      <c r="P606" s="252" t="s">
        <v>6107</v>
      </c>
      <c r="Q606" s="252" t="s">
        <v>6112</v>
      </c>
      <c r="R606" s="252" t="s">
        <v>5945</v>
      </c>
      <c r="S606" s="252" t="s">
        <v>6045</v>
      </c>
      <c r="T606" s="253" t="s">
        <v>6103</v>
      </c>
      <c r="U606" s="568" t="s">
        <v>3143</v>
      </c>
      <c r="V606" s="282" t="s">
        <v>6153</v>
      </c>
    </row>
    <row r="607" spans="1:22" ht="43.2" x14ac:dyDescent="0.3">
      <c r="A607" t="s">
        <v>245</v>
      </c>
      <c r="B607" s="261" t="s">
        <v>5918</v>
      </c>
      <c r="C607" s="252" t="s">
        <v>5725</v>
      </c>
      <c r="D607" s="252"/>
      <c r="E607" s="252" t="s">
        <v>5919</v>
      </c>
      <c r="F607" s="252" t="s">
        <v>1462</v>
      </c>
      <c r="G607" s="252" t="s">
        <v>5920</v>
      </c>
      <c r="H607" s="252" t="s">
        <v>5895</v>
      </c>
      <c r="I607" s="252" t="s">
        <v>1462</v>
      </c>
      <c r="J607" s="252" t="s">
        <v>3181</v>
      </c>
      <c r="K607" s="283">
        <v>124.92</v>
      </c>
      <c r="L607" s="252">
        <v>645</v>
      </c>
      <c r="M607" s="252">
        <v>5</v>
      </c>
      <c r="N607" s="252">
        <v>20</v>
      </c>
      <c r="O607" s="252" t="s">
        <v>6012</v>
      </c>
      <c r="P607" s="252" t="s">
        <v>5921</v>
      </c>
      <c r="Q607" s="252" t="s">
        <v>6135</v>
      </c>
      <c r="R607" s="252" t="s">
        <v>6134</v>
      </c>
      <c r="S607" s="252"/>
      <c r="T607" s="253" t="s">
        <v>6117</v>
      </c>
      <c r="U607" s="568" t="s">
        <v>55</v>
      </c>
      <c r="V607" s="282" t="s">
        <v>6153</v>
      </c>
    </row>
    <row r="608" spans="1:22" ht="72" x14ac:dyDescent="0.3">
      <c r="A608" t="s">
        <v>344</v>
      </c>
      <c r="B608" s="261" t="s">
        <v>5941</v>
      </c>
      <c r="C608" s="252" t="s">
        <v>5675</v>
      </c>
      <c r="D608" s="252"/>
      <c r="E608" s="252" t="s">
        <v>5988</v>
      </c>
      <c r="F608" s="252"/>
      <c r="G608" s="261" t="s">
        <v>5983</v>
      </c>
      <c r="H608" s="252" t="s">
        <v>5686</v>
      </c>
      <c r="I608" s="252" t="s">
        <v>1272</v>
      </c>
      <c r="J608" s="252" t="s">
        <v>5813</v>
      </c>
      <c r="K608" s="283">
        <v>100</v>
      </c>
      <c r="L608" s="252">
        <v>915</v>
      </c>
      <c r="M608" s="252">
        <v>4</v>
      </c>
      <c r="N608" s="252">
        <v>20</v>
      </c>
      <c r="O608" s="252" t="s">
        <v>6053</v>
      </c>
      <c r="P608" s="252" t="s">
        <v>6136</v>
      </c>
      <c r="Q608" s="252" t="s">
        <v>6146</v>
      </c>
      <c r="R608" s="252" t="s">
        <v>6160</v>
      </c>
      <c r="S608" s="252" t="s">
        <v>6017</v>
      </c>
      <c r="T608" s="253" t="s">
        <v>6170</v>
      </c>
      <c r="U608" s="568" t="s">
        <v>55</v>
      </c>
      <c r="V608" s="282" t="s">
        <v>6067</v>
      </c>
    </row>
    <row r="609" spans="1:22" ht="43.2" x14ac:dyDescent="0.3">
      <c r="A609" t="s">
        <v>344</v>
      </c>
      <c r="B609" s="261" t="s">
        <v>5795</v>
      </c>
      <c r="C609" s="252" t="s">
        <v>5883</v>
      </c>
      <c r="D609" s="252"/>
      <c r="E609" s="252" t="s">
        <v>5882</v>
      </c>
      <c r="F609" s="252" t="s">
        <v>1261</v>
      </c>
      <c r="G609" s="252" t="s">
        <v>5876</v>
      </c>
      <c r="H609" s="252" t="s">
        <v>5649</v>
      </c>
      <c r="I609" s="252" t="s">
        <v>1261</v>
      </c>
      <c r="J609" s="252" t="s">
        <v>5790</v>
      </c>
      <c r="K609" s="283">
        <v>96</v>
      </c>
      <c r="L609" s="252">
        <v>820</v>
      </c>
      <c r="M609" s="252">
        <v>4</v>
      </c>
      <c r="N609" s="252">
        <v>20</v>
      </c>
      <c r="O609" s="252" t="s">
        <v>6026</v>
      </c>
      <c r="P609" s="252" t="s">
        <v>6098</v>
      </c>
      <c r="Q609" s="252" t="s">
        <v>6025</v>
      </c>
      <c r="R609" s="252" t="s">
        <v>28</v>
      </c>
      <c r="S609" s="252"/>
      <c r="T609" s="253" t="s">
        <v>6082</v>
      </c>
      <c r="U609" s="568" t="s">
        <v>3143</v>
      </c>
      <c r="V609" s="282" t="s">
        <v>6067</v>
      </c>
    </row>
    <row r="610" spans="1:22" ht="57.6" x14ac:dyDescent="0.3">
      <c r="A610" t="s">
        <v>38</v>
      </c>
      <c r="B610" s="27" t="s">
        <v>5682</v>
      </c>
      <c r="C610" s="2" t="s">
        <v>5792</v>
      </c>
      <c r="D610" s="2" t="s">
        <v>5437</v>
      </c>
      <c r="E610" s="19">
        <v>621159</v>
      </c>
      <c r="F610" s="2" t="s">
        <v>1702</v>
      </c>
      <c r="G610" s="2" t="s">
        <v>5793</v>
      </c>
      <c r="H610" s="2" t="s">
        <v>5752</v>
      </c>
      <c r="I610" s="2" t="s">
        <v>1702</v>
      </c>
      <c r="J610" s="2" t="s">
        <v>5685</v>
      </c>
      <c r="K610" s="5">
        <v>485.44</v>
      </c>
      <c r="L610" s="44">
        <v>639.5</v>
      </c>
      <c r="M610" s="5">
        <v>23</v>
      </c>
      <c r="N610" s="5">
        <v>20</v>
      </c>
      <c r="O610" s="2" t="s">
        <v>6140</v>
      </c>
      <c r="P610" s="2" t="s">
        <v>6112</v>
      </c>
      <c r="Q610" s="2" t="s">
        <v>5987</v>
      </c>
      <c r="R610" s="2" t="s">
        <v>121</v>
      </c>
      <c r="S610" s="2"/>
      <c r="T610" s="174" t="s">
        <v>6014</v>
      </c>
      <c r="U610" s="343" t="s">
        <v>6197</v>
      </c>
      <c r="V610" s="343" t="s">
        <v>6198</v>
      </c>
    </row>
    <row r="611" spans="1:22" ht="28.8" x14ac:dyDescent="0.3">
      <c r="A611" t="s">
        <v>38</v>
      </c>
      <c r="B611" s="27" t="s">
        <v>5356</v>
      </c>
      <c r="C611" s="2" t="s">
        <v>5860</v>
      </c>
      <c r="D611" s="2" t="s">
        <v>5715</v>
      </c>
      <c r="E611" s="19">
        <v>2393</v>
      </c>
      <c r="F611" s="2" t="s">
        <v>1904</v>
      </c>
      <c r="G611" s="4">
        <v>268734996</v>
      </c>
      <c r="H611" s="2" t="s">
        <v>5624</v>
      </c>
      <c r="I611" s="2" t="s">
        <v>1904</v>
      </c>
      <c r="J611" s="2" t="s">
        <v>5861</v>
      </c>
      <c r="K611" s="5">
        <v>518.61699999999996</v>
      </c>
      <c r="L611" s="44">
        <v>520.65</v>
      </c>
      <c r="M611" s="5">
        <v>20</v>
      </c>
      <c r="N611" s="5">
        <v>40</v>
      </c>
      <c r="O611" s="2" t="s">
        <v>5885</v>
      </c>
      <c r="P611" s="2" t="s">
        <v>6137</v>
      </c>
      <c r="Q611" s="2" t="s">
        <v>6165</v>
      </c>
      <c r="R611" s="2" t="s">
        <v>5950</v>
      </c>
      <c r="S611" s="266"/>
      <c r="T611" s="174" t="s">
        <v>6162</v>
      </c>
      <c r="U611" s="509" t="s">
        <v>6199</v>
      </c>
      <c r="V611" s="313" t="s">
        <v>6200</v>
      </c>
    </row>
    <row r="612" spans="1:22" ht="57.6" x14ac:dyDescent="0.3">
      <c r="A612" t="s">
        <v>55</v>
      </c>
      <c r="B612" s="27" t="s">
        <v>2427</v>
      </c>
      <c r="C612" s="2" t="s">
        <v>6092</v>
      </c>
      <c r="D612" s="2" t="s">
        <v>6053</v>
      </c>
      <c r="E612" s="2" t="s">
        <v>6061</v>
      </c>
      <c r="F612" s="2" t="s">
        <v>1462</v>
      </c>
      <c r="G612" s="19">
        <v>267248619</v>
      </c>
      <c r="H612" s="2" t="s">
        <v>5546</v>
      </c>
      <c r="I612" s="2" t="s">
        <v>1462</v>
      </c>
      <c r="J612" s="2" t="s">
        <v>5837</v>
      </c>
      <c r="K612" s="5">
        <v>336.34</v>
      </c>
      <c r="L612" s="44">
        <v>710</v>
      </c>
      <c r="M612" s="5">
        <v>16</v>
      </c>
      <c r="N612" s="5">
        <v>20</v>
      </c>
      <c r="O612" s="2" t="s">
        <v>6049</v>
      </c>
      <c r="P612" s="2" t="s">
        <v>6153</v>
      </c>
      <c r="Q612" s="2" t="s">
        <v>6156</v>
      </c>
      <c r="R612" s="2" t="s">
        <v>28</v>
      </c>
      <c r="S612" s="2"/>
      <c r="T612" s="174" t="s">
        <v>6105</v>
      </c>
      <c r="U612" s="343" t="s">
        <v>6213</v>
      </c>
      <c r="V612" s="343" t="s">
        <v>6214</v>
      </c>
    </row>
    <row r="613" spans="1:22" ht="72" x14ac:dyDescent="0.3">
      <c r="A613" t="s">
        <v>55</v>
      </c>
      <c r="B613" s="27" t="s">
        <v>5754</v>
      </c>
      <c r="C613" s="2" t="s">
        <v>6001</v>
      </c>
      <c r="D613" s="2" t="s">
        <v>5724</v>
      </c>
      <c r="E613" s="2" t="s">
        <v>6002</v>
      </c>
      <c r="F613" s="2" t="s">
        <v>1462</v>
      </c>
      <c r="G613" s="2" t="s">
        <v>6003</v>
      </c>
      <c r="H613" s="2" t="s">
        <v>5869</v>
      </c>
      <c r="I613" s="2" t="s">
        <v>1462</v>
      </c>
      <c r="J613" s="2" t="s">
        <v>977</v>
      </c>
      <c r="K613" s="5">
        <v>484.26</v>
      </c>
      <c r="L613" s="44">
        <v>670</v>
      </c>
      <c r="M613" s="5">
        <v>23</v>
      </c>
      <c r="N613" s="5">
        <v>20</v>
      </c>
      <c r="O613" s="2" t="s">
        <v>6151</v>
      </c>
      <c r="P613" s="2" t="s">
        <v>6025</v>
      </c>
      <c r="Q613" s="2" t="s">
        <v>6180</v>
      </c>
      <c r="R613" s="2" t="s">
        <v>6062</v>
      </c>
      <c r="S613" s="2" t="s">
        <v>6032</v>
      </c>
      <c r="T613" s="174" t="s">
        <v>6080</v>
      </c>
      <c r="U613" s="343" t="s">
        <v>6225</v>
      </c>
      <c r="V613" s="343" t="s">
        <v>6226</v>
      </c>
    </row>
    <row r="614" spans="1:22" ht="43.2" x14ac:dyDescent="0.3">
      <c r="A614" t="s">
        <v>38</v>
      </c>
      <c r="B614" s="27" t="s">
        <v>2427</v>
      </c>
      <c r="C614" s="2" t="s">
        <v>6050</v>
      </c>
      <c r="D614" s="2" t="s">
        <v>5783</v>
      </c>
      <c r="E614" s="2" t="s">
        <v>6051</v>
      </c>
      <c r="F614" s="2" t="s">
        <v>1462</v>
      </c>
      <c r="G614" s="19">
        <v>268972879</v>
      </c>
      <c r="H614" s="2" t="s">
        <v>5922</v>
      </c>
      <c r="I614" s="2" t="s">
        <v>1462</v>
      </c>
      <c r="J614" s="2" t="s">
        <v>5837</v>
      </c>
      <c r="K614" s="5">
        <v>273.7</v>
      </c>
      <c r="L614" s="44">
        <v>710</v>
      </c>
      <c r="M614" s="5">
        <v>13</v>
      </c>
      <c r="N614" s="5">
        <v>20</v>
      </c>
      <c r="O614" s="2" t="s">
        <v>6052</v>
      </c>
      <c r="P614" s="2" t="s">
        <v>6161</v>
      </c>
      <c r="Q614" s="2" t="s">
        <v>6173</v>
      </c>
      <c r="R614" s="2" t="s">
        <v>6147</v>
      </c>
      <c r="S614" s="2" t="s">
        <v>6150</v>
      </c>
      <c r="T614" s="174" t="s">
        <v>6164</v>
      </c>
      <c r="U614" s="343" t="s">
        <v>6209</v>
      </c>
      <c r="V614" s="343" t="s">
        <v>6210</v>
      </c>
    </row>
    <row r="615" spans="1:22" ht="28.8" x14ac:dyDescent="0.3">
      <c r="A615" t="s">
        <v>38</v>
      </c>
      <c r="B615" s="27" t="s">
        <v>5356</v>
      </c>
      <c r="C615" s="2" t="s">
        <v>5999</v>
      </c>
      <c r="D615" s="2" t="s">
        <v>5631</v>
      </c>
      <c r="E615" s="19">
        <v>2408</v>
      </c>
      <c r="F615" s="2" t="s">
        <v>1904</v>
      </c>
      <c r="G615" s="19">
        <v>269563295</v>
      </c>
      <c r="H615" s="2" t="s">
        <v>5881</v>
      </c>
      <c r="I615" s="2" t="s">
        <v>1904</v>
      </c>
      <c r="J615" s="2" t="s">
        <v>5716</v>
      </c>
      <c r="K615" s="5">
        <v>522.73400000000004</v>
      </c>
      <c r="L615" s="44">
        <v>538</v>
      </c>
      <c r="M615" s="5">
        <v>20</v>
      </c>
      <c r="N615" s="5">
        <v>40</v>
      </c>
      <c r="O615" s="2" t="s">
        <v>5986</v>
      </c>
      <c r="P615" s="2" t="s">
        <v>6203</v>
      </c>
      <c r="Q615" s="2" t="s">
        <v>6204</v>
      </c>
      <c r="R615" s="2" t="s">
        <v>28</v>
      </c>
      <c r="S615" s="2"/>
      <c r="T615" s="174" t="s">
        <v>6079</v>
      </c>
      <c r="U615" s="343" t="s">
        <v>6248</v>
      </c>
      <c r="V615" s="343" t="s">
        <v>6249</v>
      </c>
    </row>
    <row r="616" spans="1:22" ht="100.8" x14ac:dyDescent="0.3">
      <c r="A616" t="s">
        <v>344</v>
      </c>
      <c r="B616" s="261" t="s">
        <v>2427</v>
      </c>
      <c r="C616" s="252" t="s">
        <v>5749</v>
      </c>
      <c r="D616" s="252" t="s">
        <v>5699</v>
      </c>
      <c r="E616" s="252" t="s">
        <v>5750</v>
      </c>
      <c r="F616" s="252" t="s">
        <v>2998</v>
      </c>
      <c r="G616" s="252" t="s">
        <v>5751</v>
      </c>
      <c r="H616" s="252" t="s">
        <v>5701</v>
      </c>
      <c r="I616" s="252" t="s">
        <v>2998</v>
      </c>
      <c r="J616" s="252" t="s">
        <v>87</v>
      </c>
      <c r="K616" s="283">
        <v>24.526</v>
      </c>
      <c r="L616" s="252">
        <v>537</v>
      </c>
      <c r="M616" s="300" t="s">
        <v>6094</v>
      </c>
      <c r="N616" s="252">
        <v>40</v>
      </c>
      <c r="O616" s="252" t="s">
        <v>6179</v>
      </c>
      <c r="P616" s="252" t="s">
        <v>6173</v>
      </c>
      <c r="Q616" s="252" t="s">
        <v>6167</v>
      </c>
      <c r="R616" s="535" t="s">
        <v>6101</v>
      </c>
      <c r="S616" s="252" t="s">
        <v>6193</v>
      </c>
      <c r="T616" s="261" t="s">
        <v>5961</v>
      </c>
      <c r="U616" s="580" t="s">
        <v>55</v>
      </c>
      <c r="V616" s="282" t="s">
        <v>6216</v>
      </c>
    </row>
    <row r="617" spans="1:22" ht="43.2" x14ac:dyDescent="0.3">
      <c r="A617" t="s">
        <v>55</v>
      </c>
      <c r="B617" s="27" t="s">
        <v>5238</v>
      </c>
      <c r="C617" s="2" t="s">
        <v>5957</v>
      </c>
      <c r="D617" s="2" t="s">
        <v>5897</v>
      </c>
      <c r="E617" s="2" t="s">
        <v>6152</v>
      </c>
      <c r="F617" s="2" t="s">
        <v>1462</v>
      </c>
      <c r="G617" s="2" t="s">
        <v>5958</v>
      </c>
      <c r="H617" s="2" t="s">
        <v>5865</v>
      </c>
      <c r="I617" s="2" t="s">
        <v>1462</v>
      </c>
      <c r="J617" s="2" t="s">
        <v>2982</v>
      </c>
      <c r="K617" s="5">
        <v>208.8</v>
      </c>
      <c r="L617" s="44">
        <v>715</v>
      </c>
      <c r="M617" s="5">
        <v>10</v>
      </c>
      <c r="N617" s="5">
        <v>20</v>
      </c>
      <c r="O617" s="2" t="s">
        <v>6098</v>
      </c>
      <c r="P617" s="2" t="s">
        <v>6203</v>
      </c>
      <c r="Q617" s="2" t="s">
        <v>6204</v>
      </c>
      <c r="R617" s="2" t="s">
        <v>6077</v>
      </c>
      <c r="S617" s="2" t="s">
        <v>6074</v>
      </c>
      <c r="T617" s="174" t="s">
        <v>6130</v>
      </c>
      <c r="U617" s="313" t="s">
        <v>6266</v>
      </c>
      <c r="V617" s="315" t="s">
        <v>6267</v>
      </c>
    </row>
    <row r="618" spans="1:22" ht="28.8" x14ac:dyDescent="0.3">
      <c r="A618" t="s">
        <v>55</v>
      </c>
      <c r="B618" s="27" t="s">
        <v>5946</v>
      </c>
      <c r="C618" s="4" t="s">
        <v>6004</v>
      </c>
      <c r="D618" s="2" t="s">
        <v>5724</v>
      </c>
      <c r="E618" s="19">
        <v>12576</v>
      </c>
      <c r="F618" s="19" t="s">
        <v>1904</v>
      </c>
      <c r="G618" s="19">
        <v>268554560</v>
      </c>
      <c r="H618" s="2" t="s">
        <v>5976</v>
      </c>
      <c r="I618" s="2" t="s">
        <v>1904</v>
      </c>
      <c r="J618" s="2" t="s">
        <v>5828</v>
      </c>
      <c r="K618" s="5">
        <v>497.32799999999997</v>
      </c>
      <c r="L618" s="44">
        <v>535</v>
      </c>
      <c r="M618" s="5">
        <v>19</v>
      </c>
      <c r="N618" s="5">
        <v>40</v>
      </c>
      <c r="O618" s="2" t="s">
        <v>6025</v>
      </c>
      <c r="P618" s="2" t="s">
        <v>6216</v>
      </c>
      <c r="Q618" s="2" t="s">
        <v>6178</v>
      </c>
      <c r="R618" s="2" t="s">
        <v>6207</v>
      </c>
      <c r="S618" s="2"/>
      <c r="T618" s="266" t="s">
        <v>6154</v>
      </c>
      <c r="U618" s="74" t="s">
        <v>6268</v>
      </c>
      <c r="V618" s="74" t="s">
        <v>6096</v>
      </c>
    </row>
    <row r="619" spans="1:22" ht="28.8" x14ac:dyDescent="0.3">
      <c r="A619" t="s">
        <v>55</v>
      </c>
      <c r="B619" s="27" t="s">
        <v>2841</v>
      </c>
      <c r="C619" s="2" t="s">
        <v>6157</v>
      </c>
      <c r="D619" s="2">
        <v>16</v>
      </c>
      <c r="E619" s="19">
        <v>99192128</v>
      </c>
      <c r="F619" s="2" t="s">
        <v>1318</v>
      </c>
      <c r="G619" s="266" t="s">
        <v>6159</v>
      </c>
      <c r="H619" s="2" t="s">
        <v>6153</v>
      </c>
      <c r="I619" s="2" t="s">
        <v>1318</v>
      </c>
      <c r="J619" s="2" t="s">
        <v>6158</v>
      </c>
      <c r="K619" s="5">
        <v>8</v>
      </c>
      <c r="L619" s="44">
        <v>115122.5</v>
      </c>
      <c r="M619" s="5">
        <v>1</v>
      </c>
      <c r="N619" s="5">
        <v>20</v>
      </c>
      <c r="O619" s="2" t="s">
        <v>6137</v>
      </c>
      <c r="P619" s="2" t="s">
        <v>6247</v>
      </c>
      <c r="Q619" s="2" t="s">
        <v>6125</v>
      </c>
      <c r="R619" s="2" t="s">
        <v>6215</v>
      </c>
      <c r="S619" s="2" t="s">
        <v>6227</v>
      </c>
      <c r="T619" s="2"/>
      <c r="U619" s="313" t="s">
        <v>55</v>
      </c>
      <c r="V619" s="315" t="s">
        <v>6096</v>
      </c>
    </row>
    <row r="620" spans="1:22" ht="57.6" x14ac:dyDescent="0.3">
      <c r="B620" s="582" t="s">
        <v>5808</v>
      </c>
      <c r="C620" s="252"/>
      <c r="D620" s="252"/>
      <c r="E620" s="252" t="s">
        <v>6110</v>
      </c>
      <c r="F620" s="252" t="s">
        <v>1232</v>
      </c>
      <c r="G620" s="252" t="s">
        <v>6108</v>
      </c>
      <c r="H620" s="252" t="s">
        <v>6012</v>
      </c>
      <c r="I620" s="252" t="s">
        <v>1232</v>
      </c>
      <c r="J620" s="252" t="s">
        <v>6109</v>
      </c>
      <c r="K620" s="283">
        <v>46</v>
      </c>
      <c r="L620" s="252">
        <v>935</v>
      </c>
      <c r="M620" s="252">
        <v>2</v>
      </c>
      <c r="N620" s="252">
        <v>20</v>
      </c>
      <c r="O620" s="252" t="s">
        <v>6131</v>
      </c>
      <c r="P620" s="252" t="s">
        <v>6132</v>
      </c>
      <c r="Q620" s="252">
        <v>14</v>
      </c>
      <c r="R620" s="252" t="s">
        <v>212</v>
      </c>
      <c r="S620" s="252" t="s">
        <v>6155</v>
      </c>
      <c r="T620" s="252" t="s">
        <v>6111</v>
      </c>
      <c r="U620" s="282" t="s">
        <v>6277</v>
      </c>
    </row>
    <row r="621" spans="1:22" ht="28.8" x14ac:dyDescent="0.3">
      <c r="A621" t="s">
        <v>38</v>
      </c>
      <c r="B621" s="27" t="s">
        <v>5682</v>
      </c>
      <c r="C621" s="2" t="s">
        <v>5683</v>
      </c>
      <c r="D621" s="2" t="s">
        <v>5684</v>
      </c>
      <c r="E621" s="4">
        <v>621031</v>
      </c>
      <c r="F621" s="2" t="s">
        <v>1702</v>
      </c>
      <c r="G621" s="2" t="s">
        <v>5786</v>
      </c>
      <c r="H621" s="2" t="s">
        <v>5668</v>
      </c>
      <c r="I621" s="2" t="s">
        <v>1702</v>
      </c>
      <c r="J621" s="2" t="s">
        <v>5685</v>
      </c>
      <c r="K621" s="5">
        <v>87.05</v>
      </c>
      <c r="L621" s="44">
        <v>621</v>
      </c>
      <c r="M621" s="5">
        <v>4</v>
      </c>
      <c r="N621" s="5">
        <v>20</v>
      </c>
      <c r="O621" s="2" t="s">
        <v>6136</v>
      </c>
      <c r="P621" s="2" t="s">
        <v>6156</v>
      </c>
      <c r="Q621" s="2" t="s">
        <v>6205</v>
      </c>
      <c r="R621" s="2" t="s">
        <v>121</v>
      </c>
      <c r="S621" s="2"/>
      <c r="T621" s="174" t="s">
        <v>5968</v>
      </c>
      <c r="U621" s="18" t="s">
        <v>38</v>
      </c>
      <c r="V621" s="74" t="s">
        <v>6286</v>
      </c>
    </row>
    <row r="622" spans="1:22" ht="28.8" x14ac:dyDescent="0.3">
      <c r="A622" t="s">
        <v>38</v>
      </c>
      <c r="B622" s="27" t="s">
        <v>5946</v>
      </c>
      <c r="C622" s="2" t="s">
        <v>5947</v>
      </c>
      <c r="D622" s="2" t="s">
        <v>5724</v>
      </c>
      <c r="E622" s="2" t="s">
        <v>5948</v>
      </c>
      <c r="F622" s="2" t="s">
        <v>1904</v>
      </c>
      <c r="G622" s="19">
        <v>268554373</v>
      </c>
      <c r="H622" s="2" t="s">
        <v>5910</v>
      </c>
      <c r="I622" s="2" t="s">
        <v>1904</v>
      </c>
      <c r="J622" s="2" t="s">
        <v>5828</v>
      </c>
      <c r="K622" s="5">
        <v>494.19099999999997</v>
      </c>
      <c r="L622" s="44">
        <v>538</v>
      </c>
      <c r="M622" s="5">
        <v>19</v>
      </c>
      <c r="N622" s="5">
        <v>40</v>
      </c>
      <c r="O622" s="2" t="s">
        <v>6137</v>
      </c>
      <c r="P622" s="2" t="s">
        <v>6167</v>
      </c>
      <c r="Q622" s="2" t="s">
        <v>6190</v>
      </c>
      <c r="R622" s="2" t="s">
        <v>6077</v>
      </c>
      <c r="S622" s="2"/>
      <c r="T622" s="174" t="s">
        <v>6129</v>
      </c>
      <c r="U622" s="343" t="s">
        <v>6295</v>
      </c>
      <c r="V622" s="343" t="s">
        <v>6296</v>
      </c>
    </row>
    <row r="623" spans="1:22" ht="57.6" x14ac:dyDescent="0.3">
      <c r="A623" t="s">
        <v>245</v>
      </c>
      <c r="B623" s="261" t="s">
        <v>6036</v>
      </c>
      <c r="C623" s="252" t="s">
        <v>6089</v>
      </c>
      <c r="D623" s="252" t="s">
        <v>6028</v>
      </c>
      <c r="E623" s="252" t="s">
        <v>6037</v>
      </c>
      <c r="F623" s="252" t="s">
        <v>1462</v>
      </c>
      <c r="G623" s="252" t="s">
        <v>6038</v>
      </c>
      <c r="H623" s="252" t="s">
        <v>5765</v>
      </c>
      <c r="I623" s="252" t="s">
        <v>1462</v>
      </c>
      <c r="J623" s="252" t="s">
        <v>6039</v>
      </c>
      <c r="K623" s="283">
        <v>250.82</v>
      </c>
      <c r="L623" s="252">
        <v>635</v>
      </c>
      <c r="M623" s="252">
        <v>10</v>
      </c>
      <c r="N623" s="252">
        <v>20</v>
      </c>
      <c r="O623" s="252" t="s">
        <v>6151</v>
      </c>
      <c r="P623" s="252" t="s">
        <v>6187</v>
      </c>
      <c r="Q623" s="252" t="s">
        <v>6276</v>
      </c>
      <c r="R623" s="252" t="s">
        <v>6223</v>
      </c>
      <c r="S623" s="252" t="s">
        <v>6188</v>
      </c>
      <c r="T623" s="261" t="s">
        <v>6040</v>
      </c>
      <c r="U623" s="282" t="s">
        <v>6297</v>
      </c>
      <c r="V623" s="282" t="s">
        <v>6298</v>
      </c>
    </row>
    <row r="624" spans="1:22" ht="57.6" x14ac:dyDescent="0.3">
      <c r="A624" t="s">
        <v>245</v>
      </c>
      <c r="B624" s="261" t="s">
        <v>5924</v>
      </c>
      <c r="C624" s="252" t="s">
        <v>5980</v>
      </c>
      <c r="D624" s="252" t="s">
        <v>5856</v>
      </c>
      <c r="E624" s="252" t="s">
        <v>5981</v>
      </c>
      <c r="F624" s="252" t="s">
        <v>1462</v>
      </c>
      <c r="G624" s="251">
        <v>269638702</v>
      </c>
      <c r="H624" s="252" t="s">
        <v>5930</v>
      </c>
      <c r="I624" s="252" t="s">
        <v>1462</v>
      </c>
      <c r="J624" s="252" t="s">
        <v>5601</v>
      </c>
      <c r="K624" s="283">
        <v>176.48</v>
      </c>
      <c r="L624" s="252">
        <v>647</v>
      </c>
      <c r="M624" s="252">
        <v>7</v>
      </c>
      <c r="N624" s="252">
        <v>20</v>
      </c>
      <c r="O624" s="252" t="s">
        <v>5921</v>
      </c>
      <c r="P624" s="252" t="s">
        <v>6138</v>
      </c>
      <c r="Q624" s="252" t="s">
        <v>6205</v>
      </c>
      <c r="R624" s="252" t="s">
        <v>6126</v>
      </c>
      <c r="S624" s="252" t="s">
        <v>6095</v>
      </c>
      <c r="T624" s="253" t="s">
        <v>6116</v>
      </c>
      <c r="U624" s="282" t="s">
        <v>3143</v>
      </c>
      <c r="V624" s="282" t="s">
        <v>6139</v>
      </c>
    </row>
    <row r="625" spans="1:22" ht="43.2" x14ac:dyDescent="0.3">
      <c r="A625" t="s">
        <v>55</v>
      </c>
      <c r="B625" s="27" t="s">
        <v>157</v>
      </c>
      <c r="C625" s="2" t="s">
        <v>6194</v>
      </c>
      <c r="D625" s="2" t="s">
        <v>6179</v>
      </c>
      <c r="E625" s="4">
        <v>26042301</v>
      </c>
      <c r="F625" s="2" t="s">
        <v>1904</v>
      </c>
      <c r="G625" s="19">
        <v>270441666</v>
      </c>
      <c r="H625" s="2" t="s">
        <v>5976</v>
      </c>
      <c r="I625" s="2" t="s">
        <v>1904</v>
      </c>
      <c r="J625" s="373" t="s">
        <v>3017</v>
      </c>
      <c r="K625" s="5">
        <v>497.60500000000002</v>
      </c>
      <c r="L625" s="44">
        <v>587</v>
      </c>
      <c r="M625" s="5">
        <v>19</v>
      </c>
      <c r="N625" s="5">
        <v>40</v>
      </c>
      <c r="O625" s="2" t="s">
        <v>6179</v>
      </c>
      <c r="P625" s="2" t="s">
        <v>6167</v>
      </c>
      <c r="Q625" s="2" t="s">
        <v>6190</v>
      </c>
      <c r="R625" s="2" t="s">
        <v>121</v>
      </c>
      <c r="S625" s="2"/>
      <c r="T625" s="174" t="s">
        <v>6253</v>
      </c>
      <c r="U625" s="343" t="s">
        <v>6322</v>
      </c>
      <c r="V625" s="343" t="s">
        <v>6323</v>
      </c>
    </row>
    <row r="626" spans="1:22" ht="28.8" x14ac:dyDescent="0.3">
      <c r="A626" t="s">
        <v>55</v>
      </c>
      <c r="B626" s="27" t="s">
        <v>157</v>
      </c>
      <c r="C626" s="2" t="s">
        <v>6194</v>
      </c>
      <c r="D626" s="2" t="s">
        <v>6179</v>
      </c>
      <c r="E626" s="19">
        <v>26042301</v>
      </c>
      <c r="F626" s="2" t="s">
        <v>1904</v>
      </c>
      <c r="G626" s="19">
        <v>271728612</v>
      </c>
      <c r="H626" s="2" t="s">
        <v>6027</v>
      </c>
      <c r="I626" s="2" t="s">
        <v>1904</v>
      </c>
      <c r="J626" s="2" t="s">
        <v>6114</v>
      </c>
      <c r="K626" s="5">
        <v>25.818999999999999</v>
      </c>
      <c r="L626" s="44">
        <v>587</v>
      </c>
      <c r="M626" s="5">
        <v>1</v>
      </c>
      <c r="N626" s="5">
        <v>40</v>
      </c>
      <c r="O626" s="2" t="s">
        <v>6156</v>
      </c>
      <c r="P626" s="2" t="s">
        <v>6204</v>
      </c>
      <c r="Q626" s="2" t="s">
        <v>6269</v>
      </c>
      <c r="R626" s="2" t="s">
        <v>121</v>
      </c>
      <c r="S626" s="2"/>
      <c r="T626" s="266" t="s">
        <v>6115</v>
      </c>
      <c r="U626" s="74" t="s">
        <v>55</v>
      </c>
      <c r="V626" s="74" t="s">
        <v>6205</v>
      </c>
    </row>
    <row r="627" spans="1:22" x14ac:dyDescent="0.3">
      <c r="A627" t="s">
        <v>6300</v>
      </c>
      <c r="B627" s="2" t="s">
        <v>6287</v>
      </c>
      <c r="C627" s="2" t="s">
        <v>6288</v>
      </c>
      <c r="D627" s="2" t="s">
        <v>6180</v>
      </c>
      <c r="E627" s="2" t="s">
        <v>6289</v>
      </c>
      <c r="F627" s="2" t="s">
        <v>1296</v>
      </c>
      <c r="G627" s="2" t="s">
        <v>6290</v>
      </c>
      <c r="H627" s="2" t="s">
        <v>6291</v>
      </c>
      <c r="I627" s="2" t="s">
        <v>1296</v>
      </c>
      <c r="J627" s="2" t="s">
        <v>6292</v>
      </c>
      <c r="K627" s="2">
        <v>29.67</v>
      </c>
      <c r="L627" s="2">
        <v>135</v>
      </c>
      <c r="M627" s="2">
        <v>1</v>
      </c>
      <c r="N627" s="2"/>
      <c r="O627" s="2" t="s">
        <v>6285</v>
      </c>
      <c r="P627" s="2" t="s">
        <v>6139</v>
      </c>
      <c r="Q627" s="2">
        <v>3</v>
      </c>
      <c r="R627" s="2" t="s">
        <v>121</v>
      </c>
      <c r="S627" s="2"/>
      <c r="T627" s="2"/>
      <c r="U627" t="s">
        <v>334</v>
      </c>
      <c r="V627" t="s">
        <v>6276</v>
      </c>
    </row>
    <row r="628" spans="1:22" ht="72" x14ac:dyDescent="0.3">
      <c r="A628" t="s">
        <v>38</v>
      </c>
      <c r="B628" s="27" t="s">
        <v>6005</v>
      </c>
      <c r="C628" s="2" t="s">
        <v>6006</v>
      </c>
      <c r="D628" s="2" t="s">
        <v>5911</v>
      </c>
      <c r="E628" s="19">
        <v>128918</v>
      </c>
      <c r="F628" s="2" t="s">
        <v>1904</v>
      </c>
      <c r="G628" s="19">
        <v>267749611</v>
      </c>
      <c r="H628" s="2" t="s">
        <v>5917</v>
      </c>
      <c r="I628" s="2" t="s">
        <v>1904</v>
      </c>
      <c r="J628" s="2" t="s">
        <v>6007</v>
      </c>
      <c r="K628" s="5">
        <v>499.81400000000002</v>
      </c>
      <c r="L628" s="44">
        <v>581</v>
      </c>
      <c r="M628" s="5">
        <v>20</v>
      </c>
      <c r="N628" s="5">
        <v>20</v>
      </c>
      <c r="O628" s="2" t="s">
        <v>6067</v>
      </c>
      <c r="P628" s="2" t="s">
        <v>6281</v>
      </c>
      <c r="Q628" s="2" t="s">
        <v>6293</v>
      </c>
      <c r="R628" s="2" t="s">
        <v>121</v>
      </c>
      <c r="S628" s="2"/>
      <c r="T628" s="174" t="s">
        <v>6149</v>
      </c>
      <c r="U628" s="343" t="s">
        <v>6333</v>
      </c>
      <c r="V628" s="343" t="s">
        <v>6334</v>
      </c>
    </row>
    <row r="629" spans="1:22" ht="43.2" x14ac:dyDescent="0.3">
      <c r="A629" t="s">
        <v>38</v>
      </c>
      <c r="B629" s="27" t="s">
        <v>5425</v>
      </c>
      <c r="C629" s="2" t="s">
        <v>6083</v>
      </c>
      <c r="D629" s="2" t="s">
        <v>6046</v>
      </c>
      <c r="E629" s="2" t="s">
        <v>6084</v>
      </c>
      <c r="F629" s="2" t="s">
        <v>1904</v>
      </c>
      <c r="G629" s="19">
        <v>270567026</v>
      </c>
      <c r="H629" s="2" t="s">
        <v>5765</v>
      </c>
      <c r="I629" s="2" t="s">
        <v>1904</v>
      </c>
      <c r="J629" s="2" t="s">
        <v>6085</v>
      </c>
      <c r="K629" s="5">
        <v>525.13800000000003</v>
      </c>
      <c r="L629" s="44">
        <v>580</v>
      </c>
      <c r="M629" s="5">
        <v>20</v>
      </c>
      <c r="N629" s="5">
        <v>40</v>
      </c>
      <c r="O629" s="2" t="s">
        <v>6151</v>
      </c>
      <c r="P629" s="2" t="s">
        <v>6281</v>
      </c>
      <c r="Q629" s="2" t="s">
        <v>6293</v>
      </c>
      <c r="R629" s="2" t="s">
        <v>121</v>
      </c>
      <c r="S629" s="2"/>
      <c r="T629" s="174" t="s">
        <v>6174</v>
      </c>
      <c r="U629" s="313" t="s">
        <v>6331</v>
      </c>
      <c r="V629" s="313" t="s">
        <v>6332</v>
      </c>
    </row>
    <row r="630" spans="1:22" ht="43.2" x14ac:dyDescent="0.3">
      <c r="A630" t="s">
        <v>60</v>
      </c>
      <c r="B630" s="261" t="s">
        <v>157</v>
      </c>
      <c r="C630" s="252" t="s">
        <v>5397</v>
      </c>
      <c r="D630" s="252"/>
      <c r="E630" s="251">
        <v>26030201</v>
      </c>
      <c r="F630" s="252" t="s">
        <v>1702</v>
      </c>
      <c r="G630" s="252" t="s">
        <v>5931</v>
      </c>
      <c r="H630" s="252" t="s">
        <v>5829</v>
      </c>
      <c r="I630" s="252" t="s">
        <v>1702</v>
      </c>
      <c r="J630" s="252" t="s">
        <v>5932</v>
      </c>
      <c r="K630" s="283">
        <v>98</v>
      </c>
      <c r="L630" s="252">
        <v>585</v>
      </c>
      <c r="M630" s="252">
        <v>4</v>
      </c>
      <c r="N630" s="252">
        <v>20</v>
      </c>
      <c r="O630" s="252" t="s">
        <v>6138</v>
      </c>
      <c r="P630" s="252" t="s">
        <v>6125</v>
      </c>
      <c r="Q630" s="252" t="s">
        <v>6321</v>
      </c>
      <c r="R630" s="252" t="s">
        <v>121</v>
      </c>
      <c r="S630" s="252"/>
      <c r="T630" s="253" t="s">
        <v>6022</v>
      </c>
      <c r="U630" s="282" t="s">
        <v>2772</v>
      </c>
      <c r="V630" s="282" t="s">
        <v>6132</v>
      </c>
    </row>
    <row r="631" spans="1:22" ht="43.2" x14ac:dyDescent="0.3">
      <c r="A631" t="s">
        <v>60</v>
      </c>
      <c r="B631" s="261" t="s">
        <v>2427</v>
      </c>
      <c r="C631" s="253" t="s">
        <v>5955</v>
      </c>
      <c r="D631" s="252" t="s">
        <v>5858</v>
      </c>
      <c r="E631" s="252" t="s">
        <v>5956</v>
      </c>
      <c r="F631" s="252" t="s">
        <v>1462</v>
      </c>
      <c r="G631" s="251">
        <v>267629005</v>
      </c>
      <c r="H631" s="252" t="s">
        <v>5858</v>
      </c>
      <c r="I631" s="252" t="s">
        <v>1462</v>
      </c>
      <c r="J631" s="252" t="s">
        <v>3181</v>
      </c>
      <c r="K631" s="283">
        <v>344.61</v>
      </c>
      <c r="L631" s="252">
        <v>648.5</v>
      </c>
      <c r="M631" s="252">
        <v>13</v>
      </c>
      <c r="N631" s="252">
        <v>20</v>
      </c>
      <c r="O631" s="252" t="s">
        <v>6175</v>
      </c>
      <c r="P631" s="252" t="s">
        <v>6285</v>
      </c>
      <c r="Q631" s="252" t="s">
        <v>6185</v>
      </c>
      <c r="R631" s="252" t="s">
        <v>6077</v>
      </c>
      <c r="S631" s="252" t="s">
        <v>6078</v>
      </c>
      <c r="T631" s="253" t="s">
        <v>6148</v>
      </c>
      <c r="U631" s="587" t="s">
        <v>6353</v>
      </c>
      <c r="V631" s="282" t="s">
        <v>6354</v>
      </c>
    </row>
    <row r="632" spans="1:22" ht="57.6" x14ac:dyDescent="0.3">
      <c r="A632" t="s">
        <v>38</v>
      </c>
      <c r="B632" s="586" t="s">
        <v>6283</v>
      </c>
      <c r="C632" s="2" t="s">
        <v>6326</v>
      </c>
      <c r="D632" s="2" t="s">
        <v>6178</v>
      </c>
      <c r="E632" s="2" t="s">
        <v>6327</v>
      </c>
      <c r="F632" s="2" t="s">
        <v>3630</v>
      </c>
      <c r="G632" s="2"/>
      <c r="H632" s="2"/>
      <c r="I632" s="2" t="s">
        <v>6233</v>
      </c>
      <c r="J632" s="2" t="s">
        <v>1356</v>
      </c>
      <c r="K632" s="5">
        <v>252</v>
      </c>
      <c r="L632" s="44">
        <v>570</v>
      </c>
      <c r="M632" s="5">
        <v>12</v>
      </c>
      <c r="N632" s="5" t="s">
        <v>6240</v>
      </c>
      <c r="O632" s="2" t="s">
        <v>6346</v>
      </c>
      <c r="P632" s="2"/>
      <c r="Q632" s="2">
        <v>14</v>
      </c>
      <c r="R632" s="2" t="s">
        <v>6355</v>
      </c>
      <c r="S632" s="2"/>
      <c r="T632" s="2"/>
      <c r="U632" t="s">
        <v>38</v>
      </c>
      <c r="V632">
        <v>19.260000000000002</v>
      </c>
    </row>
    <row r="633" spans="1:22" ht="43.2" x14ac:dyDescent="0.3">
      <c r="A633" t="s">
        <v>38</v>
      </c>
      <c r="B633" s="261" t="s">
        <v>6237</v>
      </c>
      <c r="C633" s="252" t="s">
        <v>6350</v>
      </c>
      <c r="D633" s="252" t="s">
        <v>6269</v>
      </c>
      <c r="E633" s="252" t="s">
        <v>6352</v>
      </c>
      <c r="F633" s="252" t="s">
        <v>3630</v>
      </c>
      <c r="G633" s="252"/>
      <c r="H633" s="252"/>
      <c r="I633" s="252" t="s">
        <v>6233</v>
      </c>
      <c r="J633" s="252" t="s">
        <v>6232</v>
      </c>
      <c r="K633" s="283">
        <v>252</v>
      </c>
      <c r="L633" s="252">
        <v>480</v>
      </c>
      <c r="M633" s="252"/>
      <c r="N633" s="252"/>
      <c r="O633" s="252" t="s">
        <v>6282</v>
      </c>
      <c r="P633" s="252"/>
      <c r="Q633" s="252"/>
      <c r="R633" s="252" t="s">
        <v>28</v>
      </c>
      <c r="S633" s="252"/>
      <c r="T633" s="252" t="s">
        <v>6278</v>
      </c>
      <c r="U633" t="s">
        <v>38</v>
      </c>
      <c r="V633" s="303" t="s">
        <v>6367</v>
      </c>
    </row>
    <row r="634" spans="1:22" ht="28.8" x14ac:dyDescent="0.3">
      <c r="A634" t="s">
        <v>38</v>
      </c>
      <c r="B634" s="588" t="s">
        <v>6238</v>
      </c>
      <c r="C634" s="2" t="s">
        <v>6348</v>
      </c>
      <c r="D634" s="2" t="s">
        <v>6132</v>
      </c>
      <c r="E634" s="373" t="s">
        <v>6272</v>
      </c>
      <c r="F634" s="2" t="s">
        <v>3630</v>
      </c>
      <c r="G634" s="2"/>
      <c r="H634" s="2"/>
      <c r="I634" s="2" t="s">
        <v>6233</v>
      </c>
      <c r="J634" s="2" t="s">
        <v>860</v>
      </c>
      <c r="K634" s="5">
        <v>504</v>
      </c>
      <c r="L634" s="44">
        <v>567</v>
      </c>
      <c r="M634" s="5">
        <v>24</v>
      </c>
      <c r="N634" s="5" t="s">
        <v>6240</v>
      </c>
      <c r="O634" s="2" t="s">
        <v>6282</v>
      </c>
      <c r="P634" s="2"/>
      <c r="Q634" s="2"/>
      <c r="R634" s="2" t="s">
        <v>28</v>
      </c>
      <c r="S634" s="2"/>
      <c r="T634" s="266" t="s">
        <v>6243</v>
      </c>
    </row>
    <row r="635" spans="1:22" ht="57.6" x14ac:dyDescent="0.3">
      <c r="A635" t="s">
        <v>38</v>
      </c>
      <c r="B635" s="586" t="s">
        <v>6283</v>
      </c>
      <c r="C635" s="2" t="s">
        <v>6351</v>
      </c>
      <c r="D635" s="2" t="s">
        <v>6132</v>
      </c>
      <c r="E635" s="373" t="s">
        <v>6239</v>
      </c>
      <c r="F635" s="2" t="s">
        <v>3630</v>
      </c>
      <c r="G635" s="2"/>
      <c r="H635" s="2"/>
      <c r="I635" s="2" t="s">
        <v>6233</v>
      </c>
      <c r="J635" s="2" t="s">
        <v>860</v>
      </c>
      <c r="K635" s="5">
        <v>252</v>
      </c>
      <c r="L635" s="44">
        <v>590</v>
      </c>
      <c r="M635" s="5">
        <v>12</v>
      </c>
      <c r="N635" s="5" t="s">
        <v>6240</v>
      </c>
      <c r="O635" s="2" t="s">
        <v>6284</v>
      </c>
      <c r="P635" s="2"/>
      <c r="Q635" s="2"/>
      <c r="R635" s="2" t="s">
        <v>121</v>
      </c>
      <c r="S635" s="2"/>
      <c r="T635" s="266" t="s">
        <v>6245</v>
      </c>
    </row>
    <row r="636" spans="1:22" ht="57.6" x14ac:dyDescent="0.3">
      <c r="A636" t="s">
        <v>38</v>
      </c>
      <c r="B636" s="27" t="s">
        <v>157</v>
      </c>
      <c r="C636" s="2" t="s">
        <v>6124</v>
      </c>
      <c r="D636" s="2" t="s">
        <v>5990</v>
      </c>
      <c r="E636" s="19">
        <v>26013102</v>
      </c>
      <c r="F636" s="2" t="s">
        <v>1904</v>
      </c>
      <c r="G636" s="470">
        <v>271560680</v>
      </c>
      <c r="H636" s="2" t="s">
        <v>6107</v>
      </c>
      <c r="I636" s="2" t="s">
        <v>1904</v>
      </c>
      <c r="J636" s="2" t="s">
        <v>860</v>
      </c>
      <c r="K636" s="518" t="s">
        <v>6384</v>
      </c>
      <c r="L636" s="44">
        <v>469</v>
      </c>
      <c r="M636" s="5">
        <v>12</v>
      </c>
      <c r="N636" s="5">
        <v>40</v>
      </c>
      <c r="O636" s="2" t="s">
        <v>6132</v>
      </c>
      <c r="P636" s="2" t="s">
        <v>6168</v>
      </c>
      <c r="Q636" s="2" t="s">
        <v>6340</v>
      </c>
      <c r="R636" s="2" t="s">
        <v>6215</v>
      </c>
      <c r="S636" s="266" t="s">
        <v>6381</v>
      </c>
      <c r="T636" s="174" t="s">
        <v>6359</v>
      </c>
      <c r="U636" s="571" t="s">
        <v>6385</v>
      </c>
      <c r="V636" s="313" t="s">
        <v>6386</v>
      </c>
    </row>
    <row r="637" spans="1:22" ht="57.6" x14ac:dyDescent="0.3">
      <c r="A637" t="s">
        <v>38</v>
      </c>
      <c r="B637" s="27" t="s">
        <v>2427</v>
      </c>
      <c r="C637" s="2" t="s">
        <v>6265</v>
      </c>
      <c r="D637" s="2" t="s">
        <v>6216</v>
      </c>
      <c r="E637" s="2" t="s">
        <v>6195</v>
      </c>
      <c r="F637" s="2" t="s">
        <v>1462</v>
      </c>
      <c r="G637" s="584">
        <v>270383678</v>
      </c>
      <c r="H637" s="2" t="s">
        <v>6042</v>
      </c>
      <c r="I637" s="2" t="s">
        <v>1462</v>
      </c>
      <c r="J637" s="2" t="s">
        <v>5837</v>
      </c>
      <c r="K637" s="5">
        <v>311.82</v>
      </c>
      <c r="L637" s="44">
        <v>717</v>
      </c>
      <c r="M637" s="5">
        <v>12</v>
      </c>
      <c r="N637" s="5">
        <v>40</v>
      </c>
      <c r="O637" s="2" t="s">
        <v>6177</v>
      </c>
      <c r="P637" s="2" t="s">
        <v>6337</v>
      </c>
      <c r="Q637" s="2" t="s">
        <v>6340</v>
      </c>
      <c r="R637" s="2" t="s">
        <v>28</v>
      </c>
      <c r="S637" s="2"/>
      <c r="T637" s="266" t="s">
        <v>6360</v>
      </c>
      <c r="U637" s="343" t="s">
        <v>6387</v>
      </c>
      <c r="V637" s="343" t="s">
        <v>6388</v>
      </c>
    </row>
    <row r="638" spans="1:22" ht="43.2" x14ac:dyDescent="0.3">
      <c r="A638" t="s">
        <v>287</v>
      </c>
      <c r="B638" s="261" t="s">
        <v>16</v>
      </c>
      <c r="C638" s="252" t="s">
        <v>6218</v>
      </c>
      <c r="D638" s="252" t="s">
        <v>5783</v>
      </c>
      <c r="E638" s="252" t="s">
        <v>6219</v>
      </c>
      <c r="F638" s="252" t="s">
        <v>6220</v>
      </c>
      <c r="G638" s="251" t="s">
        <v>6303</v>
      </c>
      <c r="H638" s="252" t="s">
        <v>5866</v>
      </c>
      <c r="I638" s="252" t="s">
        <v>6220</v>
      </c>
      <c r="J638" s="252" t="s">
        <v>6221</v>
      </c>
      <c r="K638" s="283">
        <v>73.31</v>
      </c>
      <c r="L638" s="252">
        <v>1183</v>
      </c>
      <c r="M638" s="252">
        <v>4</v>
      </c>
      <c r="N638" s="252">
        <v>20</v>
      </c>
      <c r="O638" s="252" t="s">
        <v>6212</v>
      </c>
      <c r="P638" s="252" t="s">
        <v>6367</v>
      </c>
      <c r="Q638" s="252" t="s">
        <v>6368</v>
      </c>
      <c r="R638" s="252" t="s">
        <v>212</v>
      </c>
      <c r="S638" s="252"/>
      <c r="T638" s="253"/>
      <c r="U638" t="s">
        <v>287</v>
      </c>
      <c r="V638" t="s">
        <v>6406</v>
      </c>
    </row>
    <row r="639" spans="1:22" ht="28.8" x14ac:dyDescent="0.3">
      <c r="A639" t="s">
        <v>38</v>
      </c>
      <c r="B639" s="261" t="s">
        <v>6230</v>
      </c>
      <c r="C639" s="252" t="s">
        <v>6299</v>
      </c>
      <c r="D639" s="252" t="s">
        <v>6285</v>
      </c>
      <c r="E639" s="19" t="s">
        <v>6234</v>
      </c>
      <c r="F639" s="252" t="s">
        <v>3630</v>
      </c>
      <c r="G639" s="252" t="s">
        <v>6408</v>
      </c>
      <c r="H639" s="252" t="s">
        <v>6406</v>
      </c>
      <c r="I639" s="252" t="s">
        <v>6233</v>
      </c>
      <c r="J639" s="2" t="s">
        <v>6232</v>
      </c>
      <c r="K639" s="283" t="s">
        <v>6411</v>
      </c>
      <c r="L639" s="252">
        <v>553</v>
      </c>
      <c r="M639" s="283">
        <v>24</v>
      </c>
      <c r="N639" s="283" t="s">
        <v>6240</v>
      </c>
      <c r="O639" s="252" t="s">
        <v>6349</v>
      </c>
      <c r="P639" s="252"/>
      <c r="Q639" s="252"/>
      <c r="R639" s="252" t="s">
        <v>212</v>
      </c>
      <c r="S639" s="252"/>
      <c r="T639" s="252" t="s">
        <v>6235</v>
      </c>
    </row>
  </sheetData>
  <hyperlinks>
    <hyperlink ref="J272" r:id="rId1" xr:uid="{AAA45EA9-22CE-4DF7-9DAD-7FBCAE239301}"/>
    <hyperlink ref="J278" r:id="rId2" display="MADUMAX-B@300/KG" xr:uid="{994B4A28-EAC6-43AE-A510-30245A455F98}"/>
    <hyperlink ref="J306" r:id="rId3" display="L-THREONINE@1535" xr:uid="{92EB7807-228C-49EA-9F6A-9D1B25062157}"/>
  </hyperlinks>
  <pageMargins left="0.7" right="0.7" top="0.75" bottom="0.75" header="0.3" footer="0.3"/>
  <pageSetup orientation="portrait" horizontalDpi="300" verticalDpi="300"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B624-44AE-422D-965B-4EE4F4032AD1}">
  <dimension ref="A2:U356"/>
  <sheetViews>
    <sheetView topLeftCell="A37" workbookViewId="0">
      <selection activeCell="F54" sqref="F54"/>
    </sheetView>
  </sheetViews>
  <sheetFormatPr defaultRowHeight="14.4" x14ac:dyDescent="0.3"/>
  <cols>
    <col min="3" max="3" width="18.44140625" bestFit="1" customWidth="1"/>
    <col min="4" max="4" width="10.6640625" bestFit="1" customWidth="1"/>
    <col min="5" max="5" width="19.5546875" bestFit="1" customWidth="1"/>
    <col min="6" max="6" width="11.5546875" customWidth="1"/>
    <col min="8" max="8" width="18.109375" customWidth="1"/>
    <col min="14" max="14" width="14.44140625" customWidth="1"/>
    <col min="15" max="15" width="11.88671875" bestFit="1" customWidth="1"/>
    <col min="16" max="16" width="23.109375" bestFit="1" customWidth="1"/>
    <col min="17" max="17" width="17.88671875" customWidth="1"/>
    <col min="18" max="18" width="9.6640625" bestFit="1" customWidth="1"/>
    <col min="19" max="19" width="10.6640625" bestFit="1" customWidth="1"/>
  </cols>
  <sheetData>
    <row r="2" spans="1:20" x14ac:dyDescent="0.3">
      <c r="A2" s="2" t="s">
        <v>1282</v>
      </c>
      <c r="B2" s="2" t="s">
        <v>1283</v>
      </c>
      <c r="C2" s="2" t="s">
        <v>1284</v>
      </c>
      <c r="D2" s="2" t="s">
        <v>1210</v>
      </c>
      <c r="E2" s="2" t="s">
        <v>1285</v>
      </c>
      <c r="F2" s="2" t="s">
        <v>1213</v>
      </c>
      <c r="G2" s="2" t="s">
        <v>8</v>
      </c>
      <c r="H2" s="2" t="s">
        <v>1286</v>
      </c>
      <c r="I2" s="2" t="s">
        <v>1287</v>
      </c>
      <c r="J2" s="2" t="s">
        <v>1288</v>
      </c>
      <c r="K2" s="2" t="s">
        <v>1289</v>
      </c>
      <c r="L2" s="2" t="s">
        <v>1142</v>
      </c>
      <c r="M2" s="2" t="s">
        <v>1290</v>
      </c>
      <c r="N2" s="2" t="s">
        <v>1291</v>
      </c>
      <c r="O2" s="2" t="s">
        <v>1292</v>
      </c>
      <c r="P2" s="2" t="s">
        <v>1293</v>
      </c>
      <c r="Q2" s="2" t="s">
        <v>1294</v>
      </c>
      <c r="R2" s="2" t="s">
        <v>1293</v>
      </c>
    </row>
    <row r="3" spans="1:20" x14ac:dyDescent="0.3">
      <c r="A3" t="s">
        <v>38</v>
      </c>
      <c r="B3" s="228" t="s">
        <v>485</v>
      </c>
      <c r="C3" s="229" t="s">
        <v>2352</v>
      </c>
      <c r="D3" s="230"/>
      <c r="E3" s="231" t="s">
        <v>3538</v>
      </c>
      <c r="F3" s="232">
        <v>44811</v>
      </c>
      <c r="G3" s="230" t="s">
        <v>3539</v>
      </c>
      <c r="H3" s="233" t="s">
        <v>205</v>
      </c>
      <c r="I3" s="234">
        <v>30</v>
      </c>
      <c r="J3" s="234"/>
      <c r="K3" s="226">
        <v>1</v>
      </c>
      <c r="L3" s="230"/>
      <c r="M3" s="230"/>
      <c r="N3" s="231" t="s">
        <v>3540</v>
      </c>
      <c r="O3" s="230"/>
      <c r="P3" s="230" t="s">
        <v>28</v>
      </c>
      <c r="Q3" s="230" t="s">
        <v>3541</v>
      </c>
      <c r="R3" s="2"/>
      <c r="S3" s="81" t="s">
        <v>3542</v>
      </c>
    </row>
    <row r="4" spans="1:20" ht="15.6" x14ac:dyDescent="0.3">
      <c r="A4" t="s">
        <v>123</v>
      </c>
      <c r="B4" s="25" t="s">
        <v>3257</v>
      </c>
      <c r="C4" s="31" t="s">
        <v>3543</v>
      </c>
      <c r="D4" s="2"/>
      <c r="E4" s="2" t="s">
        <v>3544</v>
      </c>
      <c r="F4" s="2"/>
      <c r="G4" s="2" t="s">
        <v>1938</v>
      </c>
      <c r="H4" s="25" t="s">
        <v>84</v>
      </c>
      <c r="I4" s="25">
        <v>20</v>
      </c>
      <c r="J4" s="25"/>
      <c r="K4" s="5">
        <v>1</v>
      </c>
      <c r="L4" s="5"/>
      <c r="M4" s="2"/>
      <c r="N4" s="95">
        <v>44841</v>
      </c>
      <c r="O4" s="2"/>
      <c r="P4" s="2" t="s">
        <v>28</v>
      </c>
      <c r="Q4" s="2" t="s">
        <v>3545</v>
      </c>
      <c r="R4" s="2"/>
      <c r="S4" t="s">
        <v>3546</v>
      </c>
    </row>
    <row r="5" spans="1:20" x14ac:dyDescent="0.3">
      <c r="A5" t="s">
        <v>38</v>
      </c>
      <c r="B5" s="27" t="s">
        <v>485</v>
      </c>
      <c r="C5" s="6" t="s">
        <v>2352</v>
      </c>
      <c r="D5" s="2"/>
      <c r="E5" s="25" t="s">
        <v>3547</v>
      </c>
      <c r="F5" s="112" t="s">
        <v>3548</v>
      </c>
      <c r="G5" s="2" t="s">
        <v>3539</v>
      </c>
      <c r="H5" s="4" t="s">
        <v>205</v>
      </c>
      <c r="I5" s="20">
        <v>30</v>
      </c>
      <c r="J5" s="20"/>
      <c r="K5" s="5">
        <v>1</v>
      </c>
      <c r="L5" s="2"/>
      <c r="M5" s="2"/>
      <c r="N5" s="25" t="s">
        <v>3545</v>
      </c>
      <c r="O5" s="2"/>
      <c r="P5" s="2" t="s">
        <v>28</v>
      </c>
      <c r="Q5" s="2" t="s">
        <v>3541</v>
      </c>
      <c r="R5" s="2"/>
      <c r="S5" s="81" t="s">
        <v>3549</v>
      </c>
    </row>
    <row r="6" spans="1:20" x14ac:dyDescent="0.3">
      <c r="A6" t="s">
        <v>60</v>
      </c>
      <c r="B6" s="27" t="s">
        <v>3550</v>
      </c>
      <c r="C6" s="4" t="s">
        <v>3551</v>
      </c>
      <c r="D6" s="2"/>
      <c r="E6" s="19" t="s">
        <v>3552</v>
      </c>
      <c r="F6" s="2" t="s">
        <v>598</v>
      </c>
      <c r="G6" s="2" t="s">
        <v>3553</v>
      </c>
      <c r="H6" s="2" t="s">
        <v>3554</v>
      </c>
      <c r="I6" s="150">
        <v>5.0949999999999998</v>
      </c>
      <c r="J6" s="150"/>
      <c r="K6" s="5">
        <v>1</v>
      </c>
      <c r="L6" s="5">
        <v>40</v>
      </c>
      <c r="M6" s="153" t="s">
        <v>3555</v>
      </c>
      <c r="N6" s="236" t="s">
        <v>3545</v>
      </c>
      <c r="O6" s="25" t="s">
        <v>3556</v>
      </c>
      <c r="P6" s="25" t="s">
        <v>121</v>
      </c>
      <c r="Q6" s="112" t="s">
        <v>3557</v>
      </c>
      <c r="R6" s="2"/>
      <c r="S6" t="s">
        <v>3558</v>
      </c>
    </row>
    <row r="7" spans="1:20" x14ac:dyDescent="0.3">
      <c r="A7" t="s">
        <v>38</v>
      </c>
      <c r="B7" s="27" t="s">
        <v>345</v>
      </c>
      <c r="C7" s="25" t="s">
        <v>3559</v>
      </c>
      <c r="D7" s="4" t="s">
        <v>3560</v>
      </c>
      <c r="E7" s="15" t="s">
        <v>3561</v>
      </c>
      <c r="F7" s="97">
        <v>44901</v>
      </c>
      <c r="G7" s="25" t="s">
        <v>3562</v>
      </c>
      <c r="H7" s="16" t="s">
        <v>205</v>
      </c>
      <c r="I7" s="23">
        <v>54</v>
      </c>
      <c r="J7" s="23"/>
      <c r="K7" s="5">
        <v>2</v>
      </c>
      <c r="L7" s="5">
        <v>20</v>
      </c>
      <c r="M7" s="95">
        <v>44688</v>
      </c>
      <c r="N7" s="25" t="s">
        <v>3563</v>
      </c>
      <c r="O7" s="44" t="s">
        <v>3564</v>
      </c>
      <c r="P7" s="2" t="s">
        <v>3565</v>
      </c>
      <c r="Q7" s="95">
        <v>44568</v>
      </c>
      <c r="R7" s="2"/>
      <c r="S7" t="s">
        <v>3566</v>
      </c>
    </row>
    <row r="8" spans="1:20" x14ac:dyDescent="0.3">
      <c r="A8" t="s">
        <v>123</v>
      </c>
      <c r="B8" s="135" t="s">
        <v>166</v>
      </c>
      <c r="C8" s="225" t="s">
        <v>3567</v>
      </c>
      <c r="D8" s="2" t="s">
        <v>3568</v>
      </c>
      <c r="E8" s="2" t="s">
        <v>3569</v>
      </c>
      <c r="F8" s="2"/>
      <c r="G8" s="2" t="s">
        <v>1938</v>
      </c>
      <c r="H8" s="2" t="s">
        <v>810</v>
      </c>
      <c r="I8" s="2">
        <v>28</v>
      </c>
      <c r="J8" s="2"/>
      <c r="K8" s="5">
        <v>1</v>
      </c>
      <c r="L8" s="2"/>
      <c r="M8" s="2"/>
      <c r="N8" s="2" t="s">
        <v>3545</v>
      </c>
      <c r="O8" s="2"/>
      <c r="P8" s="2" t="s">
        <v>3570</v>
      </c>
      <c r="Q8" s="2"/>
      <c r="R8" s="2"/>
      <c r="S8" t="s">
        <v>3571</v>
      </c>
      <c r="T8" t="s">
        <v>3572</v>
      </c>
    </row>
    <row r="9" spans="1:20" x14ac:dyDescent="0.3">
      <c r="A9" t="s">
        <v>123</v>
      </c>
      <c r="B9" s="227" t="s">
        <v>384</v>
      </c>
      <c r="C9" s="19" t="s">
        <v>3573</v>
      </c>
      <c r="D9" s="2" t="s">
        <v>3574</v>
      </c>
      <c r="E9" s="2" t="s">
        <v>3575</v>
      </c>
      <c r="F9" s="2" t="s">
        <v>3540</v>
      </c>
      <c r="G9" s="2" t="s">
        <v>1938</v>
      </c>
      <c r="H9" s="67" t="s">
        <v>3576</v>
      </c>
      <c r="I9" s="25">
        <v>54</v>
      </c>
      <c r="J9" s="25"/>
      <c r="K9" s="5">
        <v>2</v>
      </c>
      <c r="L9" s="2"/>
      <c r="M9" s="2"/>
      <c r="N9" s="2" t="s">
        <v>3577</v>
      </c>
      <c r="O9" s="2"/>
      <c r="P9" s="2" t="s">
        <v>3578</v>
      </c>
      <c r="Q9" s="2" t="s">
        <v>3579</v>
      </c>
      <c r="R9" s="2"/>
      <c r="S9" s="81" t="s">
        <v>3571</v>
      </c>
      <c r="T9" s="18" t="s">
        <v>3572</v>
      </c>
    </row>
    <row r="10" spans="1:20" x14ac:dyDescent="0.3">
      <c r="A10" t="s">
        <v>123</v>
      </c>
      <c r="B10" s="135" t="s">
        <v>166</v>
      </c>
      <c r="C10" s="225" t="s">
        <v>3580</v>
      </c>
      <c r="D10" s="2" t="s">
        <v>3568</v>
      </c>
      <c r="E10" s="2" t="s">
        <v>3581</v>
      </c>
      <c r="F10" s="2"/>
      <c r="G10" s="2" t="s">
        <v>1938</v>
      </c>
      <c r="H10" s="2" t="s">
        <v>1093</v>
      </c>
      <c r="I10" s="2">
        <v>56</v>
      </c>
      <c r="J10" s="2"/>
      <c r="K10" s="5">
        <v>2</v>
      </c>
      <c r="L10" s="2"/>
      <c r="M10" s="2"/>
      <c r="N10" s="2" t="s">
        <v>3545</v>
      </c>
      <c r="O10" s="2"/>
      <c r="P10" s="2" t="s">
        <v>3582</v>
      </c>
      <c r="Q10" s="2" t="s">
        <v>3583</v>
      </c>
      <c r="R10" s="2"/>
      <c r="S10" t="s">
        <v>3584</v>
      </c>
    </row>
    <row r="11" spans="1:20" ht="72" x14ac:dyDescent="0.3">
      <c r="A11" t="s">
        <v>38</v>
      </c>
      <c r="B11" s="27" t="s">
        <v>652</v>
      </c>
      <c r="C11" s="2" t="s">
        <v>1098</v>
      </c>
      <c r="D11" s="4" t="s">
        <v>571</v>
      </c>
      <c r="E11" s="25" t="s">
        <v>1099</v>
      </c>
      <c r="F11" s="25" t="s">
        <v>610</v>
      </c>
      <c r="G11" s="132" t="s">
        <v>3585</v>
      </c>
      <c r="H11" s="20" t="s">
        <v>87</v>
      </c>
      <c r="I11" s="20">
        <v>20.34</v>
      </c>
      <c r="J11" s="20"/>
      <c r="K11" s="34">
        <v>1</v>
      </c>
      <c r="L11" s="34">
        <v>20</v>
      </c>
      <c r="M11" s="2"/>
      <c r="N11" s="34"/>
      <c r="O11" s="94" t="s">
        <v>3572</v>
      </c>
      <c r="P11" s="235" t="s">
        <v>3586</v>
      </c>
      <c r="Q11" s="174" t="s">
        <v>3587</v>
      </c>
      <c r="R11" s="94">
        <v>44809</v>
      </c>
      <c r="S11" t="s">
        <v>3588</v>
      </c>
      <c r="T11" t="s">
        <v>3589</v>
      </c>
    </row>
    <row r="12" spans="1:20" x14ac:dyDescent="0.3">
      <c r="A12" t="s">
        <v>123</v>
      </c>
      <c r="B12" s="135" t="s">
        <v>166</v>
      </c>
      <c r="C12" s="2" t="s">
        <v>3590</v>
      </c>
      <c r="D12" s="125" t="s">
        <v>3591</v>
      </c>
      <c r="E12" s="2" t="s">
        <v>3592</v>
      </c>
      <c r="F12" s="2"/>
      <c r="G12" s="2" t="s">
        <v>1938</v>
      </c>
      <c r="H12" s="67" t="s">
        <v>3593</v>
      </c>
      <c r="I12" s="25">
        <v>40</v>
      </c>
      <c r="J12" s="2"/>
      <c r="K12" s="5">
        <v>2</v>
      </c>
      <c r="L12" s="2"/>
      <c r="M12" s="2"/>
      <c r="N12" s="2" t="s">
        <v>3572</v>
      </c>
      <c r="O12" s="2"/>
      <c r="P12" s="2" t="s">
        <v>3594</v>
      </c>
      <c r="Q12" s="2" t="s">
        <v>3595</v>
      </c>
      <c r="R12" s="2"/>
      <c r="S12" s="18" t="s">
        <v>3596</v>
      </c>
      <c r="T12" s="18" t="s">
        <v>3597</v>
      </c>
    </row>
    <row r="13" spans="1:20" x14ac:dyDescent="0.3">
      <c r="A13" t="s">
        <v>38</v>
      </c>
      <c r="B13" s="27" t="s">
        <v>700</v>
      </c>
      <c r="C13" s="6" t="s">
        <v>3598</v>
      </c>
      <c r="D13" s="2" t="s">
        <v>3599</v>
      </c>
      <c r="E13" s="15" t="s">
        <v>3600</v>
      </c>
      <c r="F13" s="112">
        <v>44687</v>
      </c>
      <c r="G13" s="2" t="s">
        <v>3325</v>
      </c>
      <c r="H13" s="34" t="s">
        <v>87</v>
      </c>
      <c r="I13" s="20">
        <v>180.47499999999999</v>
      </c>
      <c r="J13" s="20" t="s">
        <v>28</v>
      </c>
      <c r="K13" s="5">
        <v>7</v>
      </c>
      <c r="L13" s="5">
        <v>40</v>
      </c>
      <c r="M13" s="2" t="s">
        <v>3541</v>
      </c>
      <c r="N13" s="25" t="s">
        <v>3597</v>
      </c>
      <c r="O13" s="112">
        <v>44873</v>
      </c>
      <c r="P13" s="2" t="s">
        <v>3601</v>
      </c>
      <c r="Q13" s="2" t="s">
        <v>3541</v>
      </c>
      <c r="R13" s="18" t="s">
        <v>38</v>
      </c>
      <c r="S13" s="18" t="s">
        <v>3564</v>
      </c>
    </row>
    <row r="14" spans="1:20" x14ac:dyDescent="0.3">
      <c r="A14" t="s">
        <v>38</v>
      </c>
      <c r="B14" s="27" t="s">
        <v>700</v>
      </c>
      <c r="C14" s="6" t="s">
        <v>3598</v>
      </c>
      <c r="D14" s="2" t="s">
        <v>3599</v>
      </c>
      <c r="E14" s="15" t="s">
        <v>3602</v>
      </c>
      <c r="F14" s="112">
        <v>44840</v>
      </c>
      <c r="G14" s="2" t="s">
        <v>3325</v>
      </c>
      <c r="H14" s="34" t="s">
        <v>87</v>
      </c>
      <c r="I14" s="20">
        <v>309.45999999999998</v>
      </c>
      <c r="J14" s="20" t="s">
        <v>28</v>
      </c>
      <c r="K14" s="5">
        <v>12</v>
      </c>
      <c r="L14" s="5">
        <v>40</v>
      </c>
      <c r="M14" s="2" t="s">
        <v>3545</v>
      </c>
      <c r="N14" s="25" t="s">
        <v>3597</v>
      </c>
      <c r="O14" s="112">
        <v>44873</v>
      </c>
      <c r="P14" s="2" t="s">
        <v>28</v>
      </c>
      <c r="Q14" s="2" t="s">
        <v>3541</v>
      </c>
      <c r="R14" s="18" t="s">
        <v>38</v>
      </c>
      <c r="S14" s="138">
        <v>44569</v>
      </c>
    </row>
    <row r="15" spans="1:20" x14ac:dyDescent="0.3">
      <c r="A15" t="s">
        <v>123</v>
      </c>
      <c r="B15" s="151" t="s">
        <v>124</v>
      </c>
      <c r="C15" s="19" t="s">
        <v>3603</v>
      </c>
      <c r="D15" s="2"/>
      <c r="E15" s="19">
        <v>1705</v>
      </c>
      <c r="F15" s="2" t="s">
        <v>3604</v>
      </c>
      <c r="G15" s="2" t="s">
        <v>1938</v>
      </c>
      <c r="H15" s="67" t="s">
        <v>729</v>
      </c>
      <c r="I15" s="25">
        <v>30000</v>
      </c>
      <c r="J15" s="2"/>
      <c r="K15" s="2">
        <v>1</v>
      </c>
      <c r="L15" s="2"/>
      <c r="M15" s="2"/>
      <c r="N15" s="2" t="s">
        <v>3605</v>
      </c>
      <c r="O15" s="2"/>
      <c r="P15" s="2" t="s">
        <v>28</v>
      </c>
      <c r="Q15" s="137">
        <v>44569</v>
      </c>
      <c r="R15" t="s">
        <v>123</v>
      </c>
    </row>
    <row r="16" spans="1:20" x14ac:dyDescent="0.3">
      <c r="A16" t="s">
        <v>38</v>
      </c>
      <c r="B16" s="27" t="s">
        <v>3606</v>
      </c>
      <c r="C16" s="25" t="s">
        <v>2297</v>
      </c>
      <c r="D16" s="2"/>
      <c r="E16" s="19">
        <v>990256</v>
      </c>
      <c r="F16" s="112">
        <v>44811</v>
      </c>
      <c r="G16" s="2" t="s">
        <v>1938</v>
      </c>
      <c r="H16" s="16" t="s">
        <v>3607</v>
      </c>
      <c r="I16" s="218">
        <v>1.5</v>
      </c>
      <c r="J16" s="218"/>
      <c r="K16" s="5"/>
      <c r="L16" s="5"/>
      <c r="M16" s="2"/>
      <c r="N16" s="95">
        <v>44569</v>
      </c>
      <c r="O16" s="2"/>
      <c r="P16" s="2" t="s">
        <v>28</v>
      </c>
      <c r="Q16" s="2"/>
      <c r="R16" t="s">
        <v>38</v>
      </c>
      <c r="S16" s="137">
        <v>44628</v>
      </c>
    </row>
    <row r="17" spans="1:19" x14ac:dyDescent="0.3">
      <c r="A17" t="s">
        <v>60</v>
      </c>
      <c r="B17" s="36" t="s">
        <v>149</v>
      </c>
      <c r="C17" s="4" t="s">
        <v>3608</v>
      </c>
      <c r="D17" s="95">
        <v>44718</v>
      </c>
      <c r="E17" s="2" t="s">
        <v>3609</v>
      </c>
      <c r="F17" s="112">
        <v>44872</v>
      </c>
      <c r="G17" s="2" t="s">
        <v>1318</v>
      </c>
      <c r="H17" s="20" t="s">
        <v>152</v>
      </c>
      <c r="I17" s="55">
        <v>40</v>
      </c>
      <c r="J17" s="55" t="s">
        <v>3545</v>
      </c>
      <c r="K17" s="5">
        <v>2</v>
      </c>
      <c r="L17" s="5">
        <v>20</v>
      </c>
      <c r="M17" s="2" t="s">
        <v>3610</v>
      </c>
      <c r="N17" s="156">
        <v>44569</v>
      </c>
      <c r="O17" s="44" t="s">
        <v>3611</v>
      </c>
      <c r="P17" s="25" t="s">
        <v>28</v>
      </c>
      <c r="Q17" s="2" t="s">
        <v>3589</v>
      </c>
      <c r="R17" s="18" t="s">
        <v>3612</v>
      </c>
      <c r="S17" s="18"/>
    </row>
    <row r="18" spans="1:19" x14ac:dyDescent="0.3">
      <c r="A18" t="s">
        <v>38</v>
      </c>
      <c r="B18" s="27" t="s">
        <v>996</v>
      </c>
      <c r="C18" s="25" t="s">
        <v>3613</v>
      </c>
      <c r="D18" s="94">
        <v>44899</v>
      </c>
      <c r="E18" s="25" t="s">
        <v>3614</v>
      </c>
      <c r="F18" s="94">
        <v>44808</v>
      </c>
      <c r="G18" s="25" t="s">
        <v>3615</v>
      </c>
      <c r="H18" s="20" t="s">
        <v>87</v>
      </c>
      <c r="I18" s="20">
        <v>495.40100000000001</v>
      </c>
      <c r="J18" s="20" t="s">
        <v>3563</v>
      </c>
      <c r="K18" s="5">
        <v>20</v>
      </c>
      <c r="L18" s="5">
        <v>20</v>
      </c>
      <c r="M18" s="2" t="s">
        <v>3616</v>
      </c>
      <c r="N18" s="94">
        <v>44628</v>
      </c>
      <c r="O18" s="112" t="s">
        <v>3617</v>
      </c>
      <c r="P18" s="2" t="s">
        <v>121</v>
      </c>
      <c r="Q18" s="4" t="s">
        <v>696</v>
      </c>
      <c r="R18" s="18" t="s">
        <v>3618</v>
      </c>
      <c r="S18" s="18"/>
    </row>
    <row r="19" spans="1:19" x14ac:dyDescent="0.3">
      <c r="A19" t="s">
        <v>123</v>
      </c>
      <c r="B19" s="237" t="s">
        <v>166</v>
      </c>
      <c r="C19" s="125" t="s">
        <v>3590</v>
      </c>
      <c r="D19" s="125" t="s">
        <v>3591</v>
      </c>
      <c r="E19" s="125"/>
      <c r="F19" s="125"/>
      <c r="G19" s="125" t="s">
        <v>1938</v>
      </c>
      <c r="H19" s="115" t="s">
        <v>3619</v>
      </c>
      <c r="I19" s="100">
        <v>20</v>
      </c>
      <c r="J19" s="125"/>
      <c r="K19" s="163">
        <v>1</v>
      </c>
      <c r="L19" s="125"/>
      <c r="M19" s="166">
        <v>44750</v>
      </c>
      <c r="N19" s="125"/>
      <c r="O19" s="125" t="s">
        <v>28</v>
      </c>
      <c r="P19" s="125" t="s">
        <v>3595</v>
      </c>
      <c r="Q19" s="137">
        <v>44873</v>
      </c>
      <c r="R19" t="s">
        <v>123</v>
      </c>
    </row>
    <row r="20" spans="1:19" x14ac:dyDescent="0.3">
      <c r="A20" t="s">
        <v>123</v>
      </c>
      <c r="B20" s="227" t="s">
        <v>1933</v>
      </c>
      <c r="C20" s="19" t="s">
        <v>3620</v>
      </c>
      <c r="D20" s="2"/>
      <c r="E20" s="19">
        <v>302601921</v>
      </c>
      <c r="F20" s="2" t="s">
        <v>327</v>
      </c>
      <c r="G20" s="2" t="s">
        <v>1938</v>
      </c>
      <c r="H20" s="67" t="s">
        <v>3621</v>
      </c>
      <c r="I20" s="25">
        <v>9900</v>
      </c>
      <c r="J20" s="2"/>
      <c r="K20" s="2"/>
      <c r="L20" s="2"/>
      <c r="M20" s="95">
        <v>44600</v>
      </c>
      <c r="N20" s="2"/>
      <c r="O20" s="2" t="s">
        <v>28</v>
      </c>
      <c r="P20" s="95">
        <v>44600</v>
      </c>
      <c r="Q20" s="137">
        <v>44873</v>
      </c>
      <c r="R20" t="s">
        <v>287</v>
      </c>
    </row>
    <row r="21" spans="1:19" x14ac:dyDescent="0.3">
      <c r="B21" s="601" t="s">
        <v>3622</v>
      </c>
      <c r="C21" s="592" t="s">
        <v>3623</v>
      </c>
      <c r="D21" s="2"/>
      <c r="E21" s="602" t="s">
        <v>3624</v>
      </c>
      <c r="F21" s="2" t="s">
        <v>3625</v>
      </c>
      <c r="G21" s="2" t="s">
        <v>1938</v>
      </c>
      <c r="H21" s="2" t="s">
        <v>760</v>
      </c>
      <c r="I21" s="25">
        <v>12000</v>
      </c>
      <c r="J21" s="2"/>
      <c r="K21" s="2"/>
      <c r="L21" s="2"/>
      <c r="M21" s="95" t="s">
        <v>3626</v>
      </c>
      <c r="N21" s="2"/>
      <c r="O21" s="2" t="s">
        <v>28</v>
      </c>
      <c r="P21" s="2"/>
      <c r="Q21" s="137">
        <v>44873</v>
      </c>
      <c r="R21" t="s">
        <v>287</v>
      </c>
    </row>
    <row r="22" spans="1:19" x14ac:dyDescent="0.3">
      <c r="A22" t="s">
        <v>123</v>
      </c>
      <c r="B22" s="601"/>
      <c r="C22" s="592"/>
      <c r="D22" s="2"/>
      <c r="E22" s="602"/>
      <c r="F22" s="2"/>
      <c r="G22" s="2"/>
      <c r="H22" s="2" t="s">
        <v>1939</v>
      </c>
      <c r="I22" s="25">
        <v>7050</v>
      </c>
      <c r="J22" s="2"/>
      <c r="K22" s="2"/>
      <c r="L22" s="2"/>
      <c r="M22" s="95" t="s">
        <v>3626</v>
      </c>
      <c r="N22" s="2"/>
      <c r="O22" s="2" t="s">
        <v>28</v>
      </c>
      <c r="P22" s="2"/>
      <c r="Q22" s="137">
        <v>44873</v>
      </c>
      <c r="R22" t="s">
        <v>287</v>
      </c>
    </row>
    <row r="23" spans="1:19" x14ac:dyDescent="0.3">
      <c r="A23" t="s">
        <v>73</v>
      </c>
      <c r="B23" s="2" t="s">
        <v>369</v>
      </c>
      <c r="C23" s="2" t="s">
        <v>3627</v>
      </c>
      <c r="D23" s="2" t="s">
        <v>3595</v>
      </c>
      <c r="E23" s="2" t="s">
        <v>3628</v>
      </c>
      <c r="F23" s="2" t="s">
        <v>3629</v>
      </c>
      <c r="G23" s="2" t="s">
        <v>3630</v>
      </c>
      <c r="H23" s="2" t="s">
        <v>70</v>
      </c>
      <c r="I23" s="2">
        <v>125</v>
      </c>
      <c r="J23" s="2"/>
      <c r="K23" s="2"/>
      <c r="L23" s="2"/>
      <c r="M23" s="2"/>
      <c r="N23" s="2"/>
      <c r="O23" s="2" t="s">
        <v>121</v>
      </c>
      <c r="P23" s="2"/>
      <c r="Q23" t="s">
        <v>73</v>
      </c>
    </row>
    <row r="24" spans="1:19" x14ac:dyDescent="0.3">
      <c r="A24" t="s">
        <v>38</v>
      </c>
      <c r="B24" s="2" t="s">
        <v>2583</v>
      </c>
      <c r="C24" s="2" t="s">
        <v>3631</v>
      </c>
      <c r="D24" s="2" t="s">
        <v>3579</v>
      </c>
      <c r="E24" s="2" t="s">
        <v>3632</v>
      </c>
      <c r="F24" s="2" t="s">
        <v>3597</v>
      </c>
      <c r="G24" s="2" t="s">
        <v>1938</v>
      </c>
      <c r="H24" s="2" t="s">
        <v>3633</v>
      </c>
      <c r="I24" s="20">
        <v>2</v>
      </c>
      <c r="J24" s="2"/>
      <c r="K24" s="2"/>
      <c r="L24" s="2"/>
      <c r="M24" s="2"/>
      <c r="N24" s="95">
        <v>44720</v>
      </c>
      <c r="O24" s="2"/>
      <c r="P24" s="2" t="s">
        <v>28</v>
      </c>
      <c r="Q24" t="s">
        <v>3634</v>
      </c>
      <c r="R24" t="s">
        <v>38</v>
      </c>
    </row>
    <row r="25" spans="1:19" x14ac:dyDescent="0.3">
      <c r="A25" t="s">
        <v>38</v>
      </c>
      <c r="B25" s="25" t="s">
        <v>369</v>
      </c>
      <c r="C25" s="6" t="s">
        <v>3635</v>
      </c>
      <c r="D25" s="2" t="s">
        <v>3595</v>
      </c>
      <c r="E25" s="2" t="s">
        <v>3636</v>
      </c>
      <c r="F25" s="2" t="s">
        <v>3629</v>
      </c>
      <c r="G25" s="2" t="s">
        <v>3630</v>
      </c>
      <c r="H25" s="2" t="s">
        <v>860</v>
      </c>
      <c r="I25" s="20">
        <v>125</v>
      </c>
      <c r="J25" s="2"/>
      <c r="K25" s="2"/>
      <c r="L25" s="2"/>
      <c r="M25" s="2"/>
      <c r="N25" s="95">
        <v>44781</v>
      </c>
      <c r="O25" s="2"/>
      <c r="P25" s="2" t="s">
        <v>28</v>
      </c>
      <c r="Q25" s="2" t="s">
        <v>3634</v>
      </c>
      <c r="R25" t="s">
        <v>38</v>
      </c>
    </row>
    <row r="26" spans="1:19" x14ac:dyDescent="0.3">
      <c r="A26" t="s">
        <v>38</v>
      </c>
      <c r="B26" s="27" t="s">
        <v>700</v>
      </c>
      <c r="C26" s="6" t="s">
        <v>3598</v>
      </c>
      <c r="D26" s="2" t="s">
        <v>3599</v>
      </c>
      <c r="E26" s="15" t="s">
        <v>3637</v>
      </c>
      <c r="F26" s="19" t="s">
        <v>1025</v>
      </c>
      <c r="G26" s="2" t="s">
        <v>3325</v>
      </c>
      <c r="H26" s="34" t="s">
        <v>87</v>
      </c>
      <c r="I26" s="20">
        <v>127.568</v>
      </c>
      <c r="J26" s="20" t="s">
        <v>3638</v>
      </c>
      <c r="K26" s="5">
        <v>5</v>
      </c>
      <c r="L26" s="5">
        <v>40</v>
      </c>
      <c r="M26" s="2" t="s">
        <v>3589</v>
      </c>
      <c r="N26" s="25" t="s">
        <v>3639</v>
      </c>
      <c r="O26" s="2" t="s">
        <v>3640</v>
      </c>
      <c r="P26" s="2" t="s">
        <v>28</v>
      </c>
      <c r="Q26" s="2" t="s">
        <v>3541</v>
      </c>
      <c r="R26" s="18" t="s">
        <v>38</v>
      </c>
      <c r="S26" s="137" t="s">
        <v>3641</v>
      </c>
    </row>
    <row r="27" spans="1:19" x14ac:dyDescent="0.3">
      <c r="A27" t="s">
        <v>60</v>
      </c>
      <c r="B27" s="36" t="s">
        <v>94</v>
      </c>
      <c r="C27" s="4" t="s">
        <v>3642</v>
      </c>
      <c r="D27" s="112">
        <v>44718</v>
      </c>
      <c r="E27" s="2" t="s">
        <v>3643</v>
      </c>
      <c r="F27" s="112">
        <v>44872</v>
      </c>
      <c r="G27" s="2" t="s">
        <v>3553</v>
      </c>
      <c r="H27" s="7" t="s">
        <v>3644</v>
      </c>
      <c r="I27" s="65">
        <v>16.5</v>
      </c>
      <c r="J27" s="238">
        <v>44750</v>
      </c>
      <c r="K27" s="5">
        <v>1</v>
      </c>
      <c r="L27" s="5">
        <v>20</v>
      </c>
      <c r="M27" s="2" t="s">
        <v>3645</v>
      </c>
      <c r="N27" s="44" t="s">
        <v>3646</v>
      </c>
      <c r="O27" s="2">
        <v>14</v>
      </c>
      <c r="P27" s="174" t="s">
        <v>28</v>
      </c>
      <c r="Q27" s="95">
        <v>44750</v>
      </c>
      <c r="R27" t="s">
        <v>191</v>
      </c>
      <c r="S27" t="s">
        <v>3646</v>
      </c>
    </row>
    <row r="28" spans="1:19" x14ac:dyDescent="0.3">
      <c r="A28" t="s">
        <v>38</v>
      </c>
      <c r="B28" s="27" t="s">
        <v>700</v>
      </c>
      <c r="C28" s="6" t="s">
        <v>3598</v>
      </c>
      <c r="D28" s="2" t="s">
        <v>3599</v>
      </c>
      <c r="E28" s="15" t="s">
        <v>3647</v>
      </c>
      <c r="F28" s="19" t="s">
        <v>1073</v>
      </c>
      <c r="G28" s="2" t="s">
        <v>3325</v>
      </c>
      <c r="H28" s="34" t="s">
        <v>87</v>
      </c>
      <c r="I28" s="20">
        <v>171.20400000000001</v>
      </c>
      <c r="J28" s="20" t="s">
        <v>3589</v>
      </c>
      <c r="K28" s="5">
        <v>7</v>
      </c>
      <c r="L28" s="5">
        <v>40</v>
      </c>
      <c r="M28" s="95">
        <v>44628</v>
      </c>
      <c r="N28" s="94">
        <v>44903</v>
      </c>
      <c r="O28" s="112" t="s">
        <v>3648</v>
      </c>
      <c r="P28" s="2" t="s">
        <v>121</v>
      </c>
      <c r="Q28" s="2" t="s">
        <v>3579</v>
      </c>
      <c r="R28" s="18" t="s">
        <v>38</v>
      </c>
      <c r="S28" s="137" t="s">
        <v>3649</v>
      </c>
    </row>
    <row r="29" spans="1:19" x14ac:dyDescent="0.3">
      <c r="A29" t="s">
        <v>287</v>
      </c>
      <c r="B29" s="135" t="s">
        <v>76</v>
      </c>
      <c r="C29" s="19" t="s">
        <v>3650</v>
      </c>
      <c r="D29" s="239">
        <v>44733</v>
      </c>
      <c r="E29" s="240" t="s">
        <v>3651</v>
      </c>
      <c r="F29" s="2" t="s">
        <v>327</v>
      </c>
      <c r="G29" s="2" t="s">
        <v>1938</v>
      </c>
      <c r="H29" s="2" t="s">
        <v>78</v>
      </c>
      <c r="I29" s="25">
        <v>50</v>
      </c>
      <c r="J29" s="2"/>
      <c r="K29" s="2"/>
      <c r="L29" s="2"/>
      <c r="M29" s="95">
        <v>44720</v>
      </c>
      <c r="N29" s="2"/>
      <c r="O29" s="2" t="s">
        <v>28</v>
      </c>
      <c r="P29" s="2" t="s">
        <v>3652</v>
      </c>
      <c r="R29" t="s">
        <v>3649</v>
      </c>
      <c r="S29" t="s">
        <v>287</v>
      </c>
    </row>
    <row r="30" spans="1:19" ht="28.8" x14ac:dyDescent="0.3">
      <c r="A30" t="s">
        <v>60</v>
      </c>
      <c r="B30" s="36" t="s">
        <v>3653</v>
      </c>
      <c r="C30" s="6" t="s">
        <v>3654</v>
      </c>
      <c r="D30" s="2"/>
      <c r="E30" s="6" t="s">
        <v>3655</v>
      </c>
      <c r="F30" s="2" t="s">
        <v>1026</v>
      </c>
      <c r="G30" s="2" t="s">
        <v>3656</v>
      </c>
      <c r="H30" s="20" t="s">
        <v>3657</v>
      </c>
      <c r="I30" s="39">
        <v>244.5</v>
      </c>
      <c r="J30" s="39" t="s">
        <v>3572</v>
      </c>
      <c r="K30" s="5">
        <v>10</v>
      </c>
      <c r="L30" s="5">
        <v>20</v>
      </c>
      <c r="M30" s="95">
        <v>44689</v>
      </c>
      <c r="N30" s="156" t="s">
        <v>3658</v>
      </c>
      <c r="O30" s="2" t="s">
        <v>3640</v>
      </c>
      <c r="P30" s="174" t="s">
        <v>3659</v>
      </c>
      <c r="Q30" s="2"/>
      <c r="R30" t="s">
        <v>3660</v>
      </c>
      <c r="S30" t="s">
        <v>3661</v>
      </c>
    </row>
    <row r="31" spans="1:19" x14ac:dyDescent="0.3">
      <c r="A31" t="s">
        <v>123</v>
      </c>
      <c r="B31" s="151" t="s">
        <v>124</v>
      </c>
      <c r="C31" s="19" t="s">
        <v>3662</v>
      </c>
      <c r="D31" s="112">
        <v>44569</v>
      </c>
      <c r="E31" s="19">
        <v>801603060</v>
      </c>
      <c r="F31" s="2" t="s">
        <v>327</v>
      </c>
      <c r="G31" s="2" t="s">
        <v>1340</v>
      </c>
      <c r="H31" s="67" t="s">
        <v>3663</v>
      </c>
      <c r="I31" s="241">
        <v>30</v>
      </c>
      <c r="J31" s="241"/>
      <c r="K31" s="2"/>
      <c r="L31" s="2"/>
      <c r="M31" s="2"/>
      <c r="N31" s="2" t="s">
        <v>3664</v>
      </c>
      <c r="O31" s="2"/>
      <c r="P31" s="2" t="s">
        <v>28</v>
      </c>
      <c r="Q31" s="2"/>
      <c r="R31" t="s">
        <v>1575</v>
      </c>
      <c r="S31" t="s">
        <v>3640</v>
      </c>
    </row>
    <row r="32" spans="1:19" x14ac:dyDescent="0.3">
      <c r="A32" t="s">
        <v>287</v>
      </c>
      <c r="B32" s="135" t="s">
        <v>3665</v>
      </c>
      <c r="C32" s="2" t="s">
        <v>3666</v>
      </c>
      <c r="D32" s="2"/>
      <c r="E32" s="19" t="s">
        <v>3667</v>
      </c>
      <c r="F32" s="2"/>
      <c r="G32" s="2" t="s">
        <v>1938</v>
      </c>
      <c r="H32" s="67" t="s">
        <v>24</v>
      </c>
      <c r="I32" s="241">
        <v>32</v>
      </c>
      <c r="J32" s="241"/>
      <c r="K32" s="2"/>
      <c r="L32" s="2"/>
      <c r="M32" s="2"/>
      <c r="N32" s="2" t="s">
        <v>3611</v>
      </c>
      <c r="O32" s="2"/>
      <c r="P32" s="2" t="s">
        <v>3668</v>
      </c>
      <c r="Q32" s="2"/>
      <c r="R32" t="s">
        <v>3669</v>
      </c>
      <c r="S32" t="s">
        <v>3611</v>
      </c>
    </row>
    <row r="33" spans="1:20" x14ac:dyDescent="0.3">
      <c r="A33" t="s">
        <v>38</v>
      </c>
      <c r="B33" s="27" t="s">
        <v>3670</v>
      </c>
      <c r="C33" s="6" t="s">
        <v>3671</v>
      </c>
      <c r="D33" s="95">
        <v>44872</v>
      </c>
      <c r="E33" s="2" t="s">
        <v>3672</v>
      </c>
      <c r="F33" s="19" t="s">
        <v>3673</v>
      </c>
      <c r="G33" s="2" t="s">
        <v>1318</v>
      </c>
      <c r="H33" s="2" t="s">
        <v>1873</v>
      </c>
      <c r="I33" s="20">
        <v>7775</v>
      </c>
      <c r="J33" s="2"/>
      <c r="K33" s="5">
        <v>1</v>
      </c>
      <c r="L33" s="5">
        <v>20</v>
      </c>
      <c r="M33" s="2" t="s">
        <v>3673</v>
      </c>
      <c r="N33" s="2" t="s">
        <v>3674</v>
      </c>
      <c r="O33" s="2" t="s">
        <v>3675</v>
      </c>
      <c r="P33" s="2" t="s">
        <v>28</v>
      </c>
      <c r="Q33" s="2" t="s">
        <v>3634</v>
      </c>
      <c r="R33" t="s">
        <v>38</v>
      </c>
      <c r="S33" s="137" t="s">
        <v>3676</v>
      </c>
    </row>
    <row r="34" spans="1:20" x14ac:dyDescent="0.3">
      <c r="A34" t="s">
        <v>60</v>
      </c>
      <c r="B34" s="27" t="s">
        <v>2543</v>
      </c>
      <c r="C34" s="4" t="s">
        <v>3677</v>
      </c>
      <c r="D34" s="95">
        <v>44689</v>
      </c>
      <c r="E34" s="2" t="s">
        <v>3678</v>
      </c>
      <c r="F34" s="2"/>
      <c r="G34" s="2" t="s">
        <v>1296</v>
      </c>
      <c r="H34" s="20" t="s">
        <v>205</v>
      </c>
      <c r="I34" s="8">
        <v>30</v>
      </c>
      <c r="J34" s="2"/>
      <c r="K34" s="5">
        <v>1</v>
      </c>
      <c r="L34" s="2"/>
      <c r="M34" s="2"/>
      <c r="N34" s="244" t="s">
        <v>3611</v>
      </c>
      <c r="O34" s="2">
        <v>2</v>
      </c>
      <c r="P34" s="25" t="s">
        <v>3679</v>
      </c>
      <c r="Q34" s="2" t="s">
        <v>3640</v>
      </c>
      <c r="R34" s="18" t="s">
        <v>3680</v>
      </c>
      <c r="S34" s="18" t="s">
        <v>3681</v>
      </c>
    </row>
    <row r="35" spans="1:20" x14ac:dyDescent="0.3">
      <c r="B35" s="601" t="s">
        <v>3622</v>
      </c>
      <c r="C35" s="592" t="s">
        <v>3623</v>
      </c>
      <c r="D35" s="2"/>
      <c r="E35" s="19"/>
      <c r="F35" s="592"/>
      <c r="G35" s="19"/>
      <c r="H35" s="2" t="s">
        <v>3682</v>
      </c>
      <c r="I35" s="25">
        <v>2</v>
      </c>
      <c r="J35" s="25"/>
      <c r="K35" s="67"/>
      <c r="L35" s="2"/>
      <c r="M35" s="25"/>
      <c r="N35" s="242" t="s">
        <v>3640</v>
      </c>
      <c r="O35" s="2"/>
      <c r="P35" s="2" t="s">
        <v>28</v>
      </c>
      <c r="Q35" s="2"/>
    </row>
    <row r="36" spans="1:20" x14ac:dyDescent="0.3">
      <c r="A36" t="s">
        <v>287</v>
      </c>
      <c r="B36" s="601"/>
      <c r="C36" s="592"/>
      <c r="D36" s="2"/>
      <c r="E36" s="19" t="s">
        <v>3683</v>
      </c>
      <c r="F36" s="592"/>
      <c r="G36" s="19"/>
      <c r="H36" s="25" t="s">
        <v>3684</v>
      </c>
      <c r="I36" s="9" t="s">
        <v>3685</v>
      </c>
      <c r="J36" s="9"/>
      <c r="K36" s="67"/>
      <c r="L36" s="2"/>
      <c r="M36" s="25"/>
      <c r="N36" s="243" t="s">
        <v>3640</v>
      </c>
      <c r="O36" s="2"/>
      <c r="P36" s="2" t="s">
        <v>28</v>
      </c>
      <c r="Q36" s="2"/>
      <c r="R36" t="s">
        <v>3686</v>
      </c>
    </row>
    <row r="37" spans="1:20" x14ac:dyDescent="0.3">
      <c r="A37" t="s">
        <v>1575</v>
      </c>
      <c r="B37" s="227" t="s">
        <v>384</v>
      </c>
      <c r="C37" s="71" t="s">
        <v>3687</v>
      </c>
      <c r="D37" s="2"/>
      <c r="E37" s="2"/>
      <c r="F37" s="2"/>
      <c r="G37" s="2"/>
      <c r="H37" s="25" t="s">
        <v>3576</v>
      </c>
      <c r="I37" s="25">
        <v>27</v>
      </c>
      <c r="J37" s="2"/>
      <c r="K37" s="2"/>
      <c r="L37" s="2"/>
      <c r="M37" s="2"/>
      <c r="N37" s="2" t="s">
        <v>3688</v>
      </c>
      <c r="O37" s="2"/>
      <c r="P37" s="2" t="s">
        <v>28</v>
      </c>
      <c r="Q37" s="2" t="s">
        <v>3689</v>
      </c>
      <c r="R37" s="18" t="s">
        <v>3690</v>
      </c>
      <c r="S37" s="18" t="s">
        <v>1575</v>
      </c>
    </row>
    <row r="38" spans="1:20" x14ac:dyDescent="0.3">
      <c r="A38" t="s">
        <v>60</v>
      </c>
      <c r="B38" s="27" t="s">
        <v>2543</v>
      </c>
      <c r="C38" s="4" t="s">
        <v>3677</v>
      </c>
      <c r="D38" s="95">
        <v>44689</v>
      </c>
      <c r="E38" s="2" t="s">
        <v>3691</v>
      </c>
      <c r="F38" s="2"/>
      <c r="G38" s="2" t="s">
        <v>1296</v>
      </c>
      <c r="H38" s="20" t="s">
        <v>205</v>
      </c>
      <c r="I38" s="8">
        <v>30</v>
      </c>
      <c r="J38" s="2"/>
      <c r="K38" s="5">
        <v>1</v>
      </c>
      <c r="L38" s="2"/>
      <c r="M38" s="2"/>
      <c r="N38" s="244" t="s">
        <v>3681</v>
      </c>
      <c r="O38" s="2">
        <v>2</v>
      </c>
      <c r="P38" s="25" t="s">
        <v>28</v>
      </c>
      <c r="Q38" s="2"/>
      <c r="R38" t="s">
        <v>191</v>
      </c>
      <c r="S38" t="s">
        <v>3675</v>
      </c>
    </row>
    <row r="39" spans="1:20" x14ac:dyDescent="0.3">
      <c r="A39" t="s">
        <v>1575</v>
      </c>
      <c r="B39" s="227" t="s">
        <v>384</v>
      </c>
      <c r="C39" s="71" t="s">
        <v>3687</v>
      </c>
      <c r="D39" s="2"/>
      <c r="E39" s="19">
        <v>15935</v>
      </c>
      <c r="F39" s="2" t="s">
        <v>3692</v>
      </c>
      <c r="G39" s="2" t="s">
        <v>3693</v>
      </c>
      <c r="H39" s="25" t="s">
        <v>3576</v>
      </c>
      <c r="I39" s="25">
        <v>27</v>
      </c>
      <c r="J39" s="2"/>
      <c r="K39" s="2"/>
      <c r="L39" s="2"/>
      <c r="M39" s="2"/>
      <c r="N39" s="2" t="s">
        <v>3694</v>
      </c>
      <c r="O39" s="2"/>
      <c r="P39" s="2" t="s">
        <v>28</v>
      </c>
      <c r="Q39" s="2" t="s">
        <v>3675</v>
      </c>
      <c r="R39" s="18" t="s">
        <v>1575</v>
      </c>
      <c r="S39" s="18" t="s">
        <v>3695</v>
      </c>
    </row>
    <row r="40" spans="1:20" x14ac:dyDescent="0.3">
      <c r="A40" t="s">
        <v>38</v>
      </c>
      <c r="B40" s="27" t="s">
        <v>2133</v>
      </c>
      <c r="C40" s="6" t="s">
        <v>3696</v>
      </c>
      <c r="D40" s="2" t="s">
        <v>3599</v>
      </c>
      <c r="E40" s="19">
        <v>218708537</v>
      </c>
      <c r="F40" s="95">
        <v>44627</v>
      </c>
      <c r="G40" s="2" t="s">
        <v>3585</v>
      </c>
      <c r="H40" s="4" t="s">
        <v>3697</v>
      </c>
      <c r="I40" s="20">
        <v>498.358</v>
      </c>
      <c r="J40" s="20" t="s">
        <v>3589</v>
      </c>
      <c r="K40" s="5">
        <v>20</v>
      </c>
      <c r="L40" s="5">
        <v>20</v>
      </c>
      <c r="M40" s="2" t="s">
        <v>3698</v>
      </c>
      <c r="N40" s="25" t="s">
        <v>3699</v>
      </c>
      <c r="O40" s="2" t="s">
        <v>3700</v>
      </c>
      <c r="P40" s="2" t="s">
        <v>121</v>
      </c>
      <c r="Q40" s="2" t="s">
        <v>3579</v>
      </c>
      <c r="R40" s="18" t="s">
        <v>3701</v>
      </c>
      <c r="S40" s="138">
        <v>44570</v>
      </c>
      <c r="T40" s="18" t="s">
        <v>3702</v>
      </c>
    </row>
    <row r="41" spans="1:20" x14ac:dyDescent="0.3">
      <c r="A41" t="s">
        <v>287</v>
      </c>
      <c r="B41" s="27" t="s">
        <v>3703</v>
      </c>
      <c r="C41" s="2" t="s">
        <v>3437</v>
      </c>
      <c r="D41" s="2"/>
      <c r="E41" s="2" t="s">
        <v>3704</v>
      </c>
      <c r="F41" s="2" t="s">
        <v>3705</v>
      </c>
      <c r="G41" s="2" t="s">
        <v>3706</v>
      </c>
      <c r="H41" s="2" t="s">
        <v>24</v>
      </c>
      <c r="I41" s="2">
        <v>22.774999999999999</v>
      </c>
      <c r="J41" s="2"/>
      <c r="K41" s="5">
        <v>1</v>
      </c>
      <c r="L41" s="2"/>
      <c r="M41" s="2"/>
      <c r="N41" s="156">
        <v>44660</v>
      </c>
      <c r="O41" s="2"/>
      <c r="P41" s="25" t="s">
        <v>665</v>
      </c>
      <c r="Q41" s="2"/>
      <c r="R41" s="74" t="s">
        <v>3707</v>
      </c>
    </row>
    <row r="42" spans="1:20" ht="15.6" x14ac:dyDescent="0.3">
      <c r="A42" t="s">
        <v>60</v>
      </c>
      <c r="B42" s="27" t="s">
        <v>3708</v>
      </c>
      <c r="C42" s="31" t="s">
        <v>3709</v>
      </c>
      <c r="D42" s="2" t="s">
        <v>3710</v>
      </c>
      <c r="E42" s="2" t="s">
        <v>3711</v>
      </c>
      <c r="F42" s="2" t="s">
        <v>3541</v>
      </c>
      <c r="G42" s="2" t="s">
        <v>3712</v>
      </c>
      <c r="H42" s="67" t="s">
        <v>24</v>
      </c>
      <c r="I42" s="25">
        <v>104.56</v>
      </c>
      <c r="J42" s="97">
        <v>44750</v>
      </c>
      <c r="K42" s="5">
        <v>6</v>
      </c>
      <c r="L42" s="5">
        <v>20</v>
      </c>
      <c r="M42" s="2" t="s">
        <v>3674</v>
      </c>
      <c r="N42" s="156" t="s">
        <v>3699</v>
      </c>
      <c r="O42" s="2" t="s">
        <v>3700</v>
      </c>
      <c r="P42" s="25" t="s">
        <v>3713</v>
      </c>
      <c r="Q42" s="2" t="s">
        <v>3698</v>
      </c>
      <c r="R42" s="138">
        <v>44751</v>
      </c>
      <c r="S42" s="18" t="s">
        <v>287</v>
      </c>
    </row>
    <row r="43" spans="1:20" x14ac:dyDescent="0.3">
      <c r="A43" t="s">
        <v>38</v>
      </c>
      <c r="B43" s="2" t="s">
        <v>3714</v>
      </c>
      <c r="C43" s="2" t="s">
        <v>3715</v>
      </c>
      <c r="D43" s="2"/>
      <c r="E43" s="2"/>
      <c r="F43" s="2"/>
      <c r="G43" s="2" t="s">
        <v>3716</v>
      </c>
      <c r="H43" s="247" t="s">
        <v>805</v>
      </c>
      <c r="I43" s="20">
        <v>250</v>
      </c>
      <c r="J43" s="2"/>
      <c r="K43" s="2"/>
      <c r="L43" s="5"/>
      <c r="M43" s="2"/>
      <c r="N43" s="2"/>
      <c r="O43" s="2"/>
      <c r="P43" s="2" t="s">
        <v>212</v>
      </c>
      <c r="Q43" s="2"/>
    </row>
    <row r="44" spans="1:20" x14ac:dyDescent="0.3">
      <c r="A44" t="s">
        <v>38</v>
      </c>
      <c r="B44" s="2" t="s">
        <v>3714</v>
      </c>
      <c r="C44" s="2" t="s">
        <v>3717</v>
      </c>
      <c r="D44" s="2" t="s">
        <v>3681</v>
      </c>
      <c r="E44" s="2" t="s">
        <v>3718</v>
      </c>
      <c r="F44" s="2" t="s">
        <v>3699</v>
      </c>
      <c r="G44" s="2" t="s">
        <v>3716</v>
      </c>
      <c r="H44" s="2" t="s">
        <v>860</v>
      </c>
      <c r="I44" s="20">
        <v>125</v>
      </c>
      <c r="J44" s="2"/>
      <c r="K44" s="2"/>
      <c r="L44" s="2"/>
      <c r="M44" s="2"/>
      <c r="N44" s="2"/>
      <c r="O44" s="2"/>
      <c r="P44" s="2" t="s">
        <v>121</v>
      </c>
      <c r="Q44" s="2"/>
    </row>
    <row r="45" spans="1:20" x14ac:dyDescent="0.3">
      <c r="A45" t="s">
        <v>38</v>
      </c>
      <c r="B45" s="2" t="s">
        <v>3714</v>
      </c>
      <c r="C45" s="2" t="s">
        <v>3717</v>
      </c>
      <c r="D45" s="2" t="s">
        <v>3681</v>
      </c>
      <c r="E45" s="2" t="s">
        <v>3719</v>
      </c>
      <c r="F45" s="2" t="s">
        <v>3699</v>
      </c>
      <c r="G45" s="2" t="s">
        <v>3716</v>
      </c>
      <c r="H45" s="2" t="s">
        <v>860</v>
      </c>
      <c r="I45" s="20">
        <v>125</v>
      </c>
      <c r="J45" s="2"/>
      <c r="K45" s="2"/>
      <c r="L45" s="2"/>
      <c r="M45" s="2"/>
      <c r="N45" s="2"/>
      <c r="O45" s="2"/>
      <c r="P45" s="2" t="s">
        <v>121</v>
      </c>
      <c r="Q45" s="2"/>
    </row>
    <row r="46" spans="1:20" x14ac:dyDescent="0.3">
      <c r="A46" t="s">
        <v>38</v>
      </c>
      <c r="B46" s="2" t="s">
        <v>3714</v>
      </c>
      <c r="C46" s="2" t="s">
        <v>3720</v>
      </c>
      <c r="D46" s="2" t="s">
        <v>3681</v>
      </c>
      <c r="E46" s="2" t="s">
        <v>3721</v>
      </c>
      <c r="F46" s="2" t="s">
        <v>3699</v>
      </c>
      <c r="G46" s="2" t="s">
        <v>3716</v>
      </c>
      <c r="H46" s="2" t="s">
        <v>860</v>
      </c>
      <c r="I46" s="20">
        <v>125</v>
      </c>
      <c r="J46" s="2"/>
      <c r="K46" s="2"/>
      <c r="L46" s="2"/>
      <c r="M46" s="2"/>
      <c r="N46" s="2"/>
      <c r="O46" s="2"/>
      <c r="P46" s="2" t="s">
        <v>121</v>
      </c>
      <c r="Q46" s="2"/>
    </row>
    <row r="47" spans="1:20" x14ac:dyDescent="0.3">
      <c r="A47" t="s">
        <v>38</v>
      </c>
      <c r="B47" s="2" t="s">
        <v>3714</v>
      </c>
      <c r="C47" s="2" t="s">
        <v>3720</v>
      </c>
      <c r="D47" s="2" t="s">
        <v>3681</v>
      </c>
      <c r="E47" s="2" t="s">
        <v>3719</v>
      </c>
      <c r="F47" s="2" t="s">
        <v>3699</v>
      </c>
      <c r="G47" s="2" t="s">
        <v>3716</v>
      </c>
      <c r="H47" s="2" t="s">
        <v>860</v>
      </c>
      <c r="I47" s="20">
        <v>125</v>
      </c>
      <c r="J47" s="2"/>
      <c r="K47" s="2"/>
      <c r="L47" s="2"/>
      <c r="M47" s="2"/>
      <c r="N47" s="2"/>
      <c r="O47" s="2"/>
      <c r="P47" s="2" t="s">
        <v>121</v>
      </c>
      <c r="Q47" s="2"/>
    </row>
    <row r="48" spans="1:20" x14ac:dyDescent="0.3">
      <c r="A48" t="s">
        <v>38</v>
      </c>
      <c r="B48" s="27" t="s">
        <v>3722</v>
      </c>
      <c r="C48" s="2" t="s">
        <v>3437</v>
      </c>
      <c r="D48" s="2"/>
      <c r="E48" s="2" t="s">
        <v>3723</v>
      </c>
      <c r="F48" s="2" t="s">
        <v>3690</v>
      </c>
      <c r="G48" s="2" t="s">
        <v>3724</v>
      </c>
      <c r="H48" s="2" t="s">
        <v>3725</v>
      </c>
      <c r="I48" s="20">
        <v>33</v>
      </c>
      <c r="J48" s="2"/>
      <c r="K48" s="5">
        <v>1</v>
      </c>
      <c r="L48" s="2"/>
      <c r="M48" s="2"/>
      <c r="N48" s="112">
        <v>44690</v>
      </c>
      <c r="O48" s="2">
        <v>2</v>
      </c>
      <c r="P48" s="2" t="s">
        <v>212</v>
      </c>
      <c r="Q48" s="2"/>
      <c r="R48" t="s">
        <v>3726</v>
      </c>
    </row>
    <row r="49" spans="1:19" x14ac:dyDescent="0.3">
      <c r="A49" t="s">
        <v>287</v>
      </c>
      <c r="B49" s="27" t="s">
        <v>3703</v>
      </c>
      <c r="C49" s="2" t="s">
        <v>3437</v>
      </c>
      <c r="D49" s="2"/>
      <c r="E49" s="2" t="s">
        <v>3727</v>
      </c>
      <c r="F49" s="2" t="s">
        <v>3705</v>
      </c>
      <c r="G49" s="2" t="s">
        <v>3706</v>
      </c>
      <c r="H49" s="2" t="s">
        <v>24</v>
      </c>
      <c r="I49" s="2">
        <v>29.47</v>
      </c>
      <c r="J49" s="2"/>
      <c r="K49" s="5">
        <v>1</v>
      </c>
      <c r="L49" s="2"/>
      <c r="M49" s="2"/>
      <c r="N49" s="156">
        <v>44751</v>
      </c>
      <c r="O49" s="2"/>
      <c r="P49" s="25" t="s">
        <v>665</v>
      </c>
      <c r="Q49" s="2"/>
      <c r="R49" t="s">
        <v>3728</v>
      </c>
    </row>
    <row r="50" spans="1:19" x14ac:dyDescent="0.3">
      <c r="A50" t="s">
        <v>38</v>
      </c>
      <c r="B50" s="27" t="s">
        <v>1129</v>
      </c>
      <c r="C50" s="2" t="s">
        <v>3729</v>
      </c>
      <c r="D50" s="2" t="s">
        <v>3599</v>
      </c>
      <c r="E50" s="2" t="s">
        <v>3730</v>
      </c>
      <c r="F50" s="2" t="s">
        <v>3698</v>
      </c>
      <c r="G50" s="2" t="s">
        <v>3731</v>
      </c>
      <c r="H50" s="2" t="s">
        <v>3732</v>
      </c>
      <c r="I50" s="20">
        <v>1</v>
      </c>
      <c r="J50" s="2" t="s">
        <v>3733</v>
      </c>
      <c r="K50" s="2"/>
      <c r="L50" s="2"/>
      <c r="M50" s="2"/>
      <c r="N50" s="112">
        <v>44690</v>
      </c>
      <c r="O50" s="2"/>
      <c r="P50" s="2" t="s">
        <v>121</v>
      </c>
      <c r="Q50" s="2" t="s">
        <v>3733</v>
      </c>
      <c r="R50" t="s">
        <v>38</v>
      </c>
      <c r="S50" s="137">
        <v>44813</v>
      </c>
    </row>
    <row r="51" spans="1:19" x14ac:dyDescent="0.3">
      <c r="A51" t="s">
        <v>38</v>
      </c>
      <c r="B51" s="27" t="s">
        <v>149</v>
      </c>
      <c r="C51" s="4" t="s">
        <v>3734</v>
      </c>
      <c r="D51" s="2"/>
      <c r="E51" s="2" t="s">
        <v>3735</v>
      </c>
      <c r="F51" s="2" t="s">
        <v>3689</v>
      </c>
      <c r="G51" s="2" t="s">
        <v>1571</v>
      </c>
      <c r="H51" s="2" t="s">
        <v>1408</v>
      </c>
      <c r="I51" s="8">
        <v>16</v>
      </c>
      <c r="J51" s="2"/>
      <c r="K51" s="5">
        <v>1</v>
      </c>
      <c r="L51" s="2"/>
      <c r="M51" s="2"/>
      <c r="N51" s="112">
        <v>44601</v>
      </c>
      <c r="O51" s="2"/>
      <c r="P51" s="2" t="s">
        <v>665</v>
      </c>
      <c r="Q51" s="112">
        <v>44782</v>
      </c>
      <c r="R51" t="s">
        <v>38</v>
      </c>
      <c r="S51" s="137">
        <v>44874</v>
      </c>
    </row>
    <row r="52" spans="1:19" ht="41.4" x14ac:dyDescent="0.3">
      <c r="A52" s="2" t="s">
        <v>1575</v>
      </c>
      <c r="B52" s="254" t="s">
        <v>124</v>
      </c>
      <c r="C52" s="252" t="s">
        <v>3736</v>
      </c>
      <c r="D52" s="255">
        <v>44796</v>
      </c>
      <c r="E52" s="251" t="s">
        <v>3737</v>
      </c>
      <c r="F52" s="257" t="s">
        <v>3738</v>
      </c>
      <c r="G52" s="2" t="s">
        <v>1340</v>
      </c>
      <c r="H52" s="249" t="s">
        <v>3663</v>
      </c>
      <c r="I52" s="256">
        <v>30000</v>
      </c>
      <c r="J52" s="2"/>
      <c r="K52" s="2"/>
      <c r="L52" s="2"/>
      <c r="M52" s="2"/>
      <c r="N52" s="112">
        <v>44690</v>
      </c>
      <c r="O52" s="2"/>
      <c r="P52" s="219" t="s">
        <v>28</v>
      </c>
      <c r="Q52" s="137">
        <v>44904</v>
      </c>
      <c r="R52" t="s">
        <v>1575</v>
      </c>
      <c r="S52" t="s">
        <v>3700</v>
      </c>
    </row>
    <row r="53" spans="1:19" ht="28.8" x14ac:dyDescent="0.3">
      <c r="A53" s="81" t="s">
        <v>287</v>
      </c>
      <c r="B53" s="254" t="s">
        <v>76</v>
      </c>
      <c r="C53" s="252" t="s">
        <v>3739</v>
      </c>
      <c r="D53" s="251" t="s">
        <v>3738</v>
      </c>
      <c r="E53" s="252" t="s">
        <v>3740</v>
      </c>
      <c r="F53" s="112">
        <v>44570</v>
      </c>
      <c r="G53" s="2" t="s">
        <v>1571</v>
      </c>
      <c r="H53" s="253" t="s">
        <v>78</v>
      </c>
      <c r="I53" s="250">
        <v>50</v>
      </c>
      <c r="J53" s="2"/>
      <c r="K53" s="2"/>
      <c r="L53" s="2"/>
      <c r="M53" s="2"/>
      <c r="N53" s="112">
        <v>44721</v>
      </c>
      <c r="O53" s="2"/>
      <c r="P53" s="2" t="s">
        <v>3741</v>
      </c>
      <c r="Q53" s="2"/>
      <c r="R53" t="s">
        <v>3700</v>
      </c>
      <c r="S53" t="s">
        <v>287</v>
      </c>
    </row>
    <row r="54" spans="1:19" ht="41.4" x14ac:dyDescent="0.3">
      <c r="A54" s="81" t="s">
        <v>287</v>
      </c>
      <c r="B54" s="254" t="s">
        <v>3525</v>
      </c>
      <c r="C54" s="252" t="s">
        <v>3742</v>
      </c>
      <c r="D54" s="219" t="s">
        <v>3743</v>
      </c>
      <c r="E54" s="2" t="s">
        <v>327</v>
      </c>
      <c r="F54" s="2" t="s">
        <v>3699</v>
      </c>
      <c r="G54" s="2" t="s">
        <v>1571</v>
      </c>
      <c r="H54" s="249" t="s">
        <v>3744</v>
      </c>
      <c r="I54" s="250" t="s">
        <v>3745</v>
      </c>
      <c r="J54" s="2"/>
      <c r="K54" s="2"/>
      <c r="L54" s="2"/>
      <c r="M54" s="2"/>
      <c r="N54" s="112">
        <v>44690</v>
      </c>
      <c r="O54" s="2"/>
      <c r="P54" s="2" t="s">
        <v>28</v>
      </c>
      <c r="Q54" s="2"/>
      <c r="R54" t="s">
        <v>3746</v>
      </c>
      <c r="S54" t="s">
        <v>287</v>
      </c>
    </row>
    <row r="55" spans="1:19" x14ac:dyDescent="0.3">
      <c r="A55" s="81" t="s">
        <v>38</v>
      </c>
      <c r="B55" s="2" t="s">
        <v>369</v>
      </c>
      <c r="C55" s="2" t="s">
        <v>3747</v>
      </c>
      <c r="D55" s="2"/>
      <c r="E55" s="2"/>
      <c r="F55" s="2"/>
      <c r="G55" s="2" t="s">
        <v>3630</v>
      </c>
      <c r="H55" s="2" t="s">
        <v>860</v>
      </c>
      <c r="I55" s="20">
        <v>250</v>
      </c>
      <c r="J55" s="2"/>
      <c r="K55" s="2"/>
      <c r="L55" s="2"/>
      <c r="M55" s="2"/>
      <c r="N55" s="2"/>
      <c r="O55" s="2"/>
      <c r="P55" s="2" t="s">
        <v>121</v>
      </c>
      <c r="Q55" s="2"/>
    </row>
    <row r="56" spans="1:19" x14ac:dyDescent="0.3">
      <c r="A56" s="81" t="s">
        <v>3748</v>
      </c>
      <c r="B56" s="27" t="s">
        <v>413</v>
      </c>
      <c r="C56" s="2" t="s">
        <v>3749</v>
      </c>
      <c r="D56" s="2" t="s">
        <v>801</v>
      </c>
      <c r="E56" s="2" t="s">
        <v>3750</v>
      </c>
      <c r="F56" s="112">
        <v>44842</v>
      </c>
      <c r="G56" s="2" t="s">
        <v>3751</v>
      </c>
      <c r="H56" s="2" t="s">
        <v>1721</v>
      </c>
      <c r="I56" s="64" t="s">
        <v>3752</v>
      </c>
      <c r="J56" s="64"/>
      <c r="K56" s="2"/>
      <c r="L56" s="2" t="s">
        <v>1817</v>
      </c>
      <c r="M56" s="112">
        <v>44813</v>
      </c>
      <c r="N56" s="2" t="s">
        <v>3746</v>
      </c>
      <c r="O56" s="2"/>
      <c r="P56" s="2" t="s">
        <v>28</v>
      </c>
      <c r="Q56" s="2" t="s">
        <v>3681</v>
      </c>
      <c r="R56" s="18" t="s">
        <v>3753</v>
      </c>
      <c r="S56" s="18" t="s">
        <v>3748</v>
      </c>
    </row>
    <row r="57" spans="1:19" x14ac:dyDescent="0.3">
      <c r="A57" s="81" t="s">
        <v>38</v>
      </c>
      <c r="B57" s="27" t="s">
        <v>3754</v>
      </c>
      <c r="C57" s="6" t="s">
        <v>3755</v>
      </c>
      <c r="D57" s="95">
        <v>44749</v>
      </c>
      <c r="E57" s="19">
        <v>219463753</v>
      </c>
      <c r="F57" s="2" t="s">
        <v>3589</v>
      </c>
      <c r="G57" s="2" t="s">
        <v>3756</v>
      </c>
      <c r="H57" s="2" t="s">
        <v>1459</v>
      </c>
      <c r="I57" s="20">
        <v>222.88</v>
      </c>
      <c r="J57" s="2" t="s">
        <v>3611</v>
      </c>
      <c r="K57" s="5">
        <v>10</v>
      </c>
      <c r="L57" s="5">
        <v>20</v>
      </c>
      <c r="M57" s="95">
        <v>44721</v>
      </c>
      <c r="N57" s="112" t="s">
        <v>3757</v>
      </c>
      <c r="O57" s="112">
        <v>44630</v>
      </c>
      <c r="P57" s="2" t="s">
        <v>28</v>
      </c>
      <c r="Q57" s="2" t="s">
        <v>3733</v>
      </c>
      <c r="R57" t="s">
        <v>38</v>
      </c>
      <c r="S57" t="s">
        <v>3758</v>
      </c>
    </row>
    <row r="58" spans="1:19" x14ac:dyDescent="0.3">
      <c r="A58" s="81" t="s">
        <v>1575</v>
      </c>
      <c r="B58" s="27" t="s">
        <v>3759</v>
      </c>
      <c r="C58" s="2" t="s">
        <v>3760</v>
      </c>
      <c r="D58" s="2" t="s">
        <v>3695</v>
      </c>
      <c r="E58" s="2">
        <v>15960</v>
      </c>
      <c r="F58" s="2" t="s">
        <v>3700</v>
      </c>
      <c r="G58" s="2" t="s">
        <v>1323</v>
      </c>
      <c r="H58" s="2" t="s">
        <v>3761</v>
      </c>
      <c r="I58" s="2">
        <v>27</v>
      </c>
      <c r="J58" s="2"/>
      <c r="K58" s="2">
        <v>1</v>
      </c>
      <c r="L58" s="2"/>
      <c r="M58" s="2"/>
      <c r="N58" s="2" t="s">
        <v>3753</v>
      </c>
      <c r="O58" s="2">
        <v>2</v>
      </c>
      <c r="P58" s="2" t="s">
        <v>983</v>
      </c>
      <c r="Q58" s="2"/>
      <c r="R58" t="s">
        <v>3762</v>
      </c>
    </row>
    <row r="59" spans="1:19" x14ac:dyDescent="0.3">
      <c r="A59" s="81" t="s">
        <v>38</v>
      </c>
      <c r="B59" s="27" t="s">
        <v>1986</v>
      </c>
      <c r="C59" s="2" t="s">
        <v>3763</v>
      </c>
      <c r="D59" s="2" t="s">
        <v>3695</v>
      </c>
      <c r="E59" s="19" t="s">
        <v>3764</v>
      </c>
      <c r="F59" s="112">
        <v>44813</v>
      </c>
      <c r="G59" s="2" t="s">
        <v>1340</v>
      </c>
      <c r="H59" s="2" t="s">
        <v>2589</v>
      </c>
      <c r="I59" s="20">
        <v>5</v>
      </c>
      <c r="J59" s="2"/>
      <c r="K59" s="2"/>
      <c r="L59" s="2"/>
      <c r="M59" s="2"/>
      <c r="N59" s="2" t="s">
        <v>3765</v>
      </c>
      <c r="O59" s="2"/>
      <c r="P59" s="2" t="s">
        <v>28</v>
      </c>
      <c r="Q59" s="2" t="s">
        <v>3766</v>
      </c>
      <c r="R59" s="18" t="s">
        <v>38</v>
      </c>
      <c r="S59" s="18" t="s">
        <v>3765</v>
      </c>
    </row>
    <row r="60" spans="1:19" x14ac:dyDescent="0.3">
      <c r="A60" s="81" t="s">
        <v>38</v>
      </c>
      <c r="B60" s="27" t="s">
        <v>934</v>
      </c>
      <c r="C60" s="25" t="s">
        <v>3767</v>
      </c>
      <c r="D60" s="2" t="s">
        <v>866</v>
      </c>
      <c r="E60" s="25" t="s">
        <v>3768</v>
      </c>
      <c r="F60" s="2" t="s">
        <v>3564</v>
      </c>
      <c r="G60" s="2" t="s">
        <v>3769</v>
      </c>
      <c r="H60" s="124" t="s">
        <v>205</v>
      </c>
      <c r="I60" s="23">
        <v>24</v>
      </c>
      <c r="J60" s="18" t="s">
        <v>3733</v>
      </c>
      <c r="K60" s="5">
        <v>1</v>
      </c>
      <c r="L60" s="5">
        <v>20</v>
      </c>
      <c r="M60" s="95">
        <v>44570</v>
      </c>
      <c r="N60" s="2" t="s">
        <v>3770</v>
      </c>
      <c r="O60" s="2">
        <v>14</v>
      </c>
      <c r="P60" s="2" t="s">
        <v>28</v>
      </c>
      <c r="Q60" s="2" t="s">
        <v>3766</v>
      </c>
      <c r="R60" s="74" t="s">
        <v>38</v>
      </c>
      <c r="S60" s="74" t="s">
        <v>3771</v>
      </c>
    </row>
    <row r="61" spans="1:19" ht="57.6" x14ac:dyDescent="0.3">
      <c r="A61" s="81" t="s">
        <v>287</v>
      </c>
      <c r="B61" s="254" t="s">
        <v>3772</v>
      </c>
      <c r="C61" s="258" t="s">
        <v>3773</v>
      </c>
      <c r="D61" s="255">
        <v>44784</v>
      </c>
      <c r="E61" s="251" t="s">
        <v>3774</v>
      </c>
      <c r="F61" s="219" t="s">
        <v>3775</v>
      </c>
      <c r="G61" s="2" t="s">
        <v>1340</v>
      </c>
      <c r="H61" s="249" t="s">
        <v>24</v>
      </c>
      <c r="I61" s="256">
        <v>19920</v>
      </c>
      <c r="J61" s="2"/>
      <c r="K61" s="2"/>
      <c r="L61" s="2"/>
      <c r="M61" s="2"/>
      <c r="N61" s="112">
        <v>44782</v>
      </c>
      <c r="O61" s="2"/>
      <c r="P61" s="252" t="s">
        <v>3776</v>
      </c>
      <c r="Q61" s="2"/>
      <c r="R61" s="74" t="s">
        <v>287</v>
      </c>
      <c r="S61" t="s">
        <v>3765</v>
      </c>
    </row>
    <row r="62" spans="1:19" x14ac:dyDescent="0.3">
      <c r="A62" s="81" t="s">
        <v>60</v>
      </c>
      <c r="B62" s="27" t="s">
        <v>934</v>
      </c>
      <c r="C62" s="4" t="s">
        <v>3777</v>
      </c>
      <c r="D62" s="2" t="s">
        <v>931</v>
      </c>
      <c r="E62" s="25" t="s">
        <v>3778</v>
      </c>
      <c r="F62" s="112">
        <v>44569</v>
      </c>
      <c r="G62" s="2" t="s">
        <v>3769</v>
      </c>
      <c r="H62" s="16" t="s">
        <v>205</v>
      </c>
      <c r="I62" s="23">
        <v>48</v>
      </c>
      <c r="J62" s="23" t="s">
        <v>3779</v>
      </c>
      <c r="K62" s="5">
        <v>2</v>
      </c>
      <c r="L62" s="5">
        <v>20</v>
      </c>
      <c r="M62" s="95" t="s">
        <v>3780</v>
      </c>
      <c r="N62" s="44" t="s">
        <v>3781</v>
      </c>
      <c r="O62" s="2" t="s">
        <v>3779</v>
      </c>
      <c r="P62" s="25" t="s">
        <v>121</v>
      </c>
      <c r="Q62" s="2" t="s">
        <v>3753</v>
      </c>
      <c r="R62" s="74" t="s">
        <v>191</v>
      </c>
      <c r="S62" s="74" t="s">
        <v>3771</v>
      </c>
    </row>
    <row r="63" spans="1:19" x14ac:dyDescent="0.3">
      <c r="A63" s="81" t="s">
        <v>60</v>
      </c>
      <c r="B63" s="27" t="s">
        <v>946</v>
      </c>
      <c r="C63" s="25" t="s">
        <v>3782</v>
      </c>
      <c r="D63" s="2" t="s">
        <v>3540</v>
      </c>
      <c r="E63" s="19">
        <v>220737915</v>
      </c>
      <c r="F63" s="2" t="s">
        <v>3661</v>
      </c>
      <c r="G63" s="2" t="s">
        <v>3712</v>
      </c>
      <c r="H63" s="25" t="s">
        <v>24</v>
      </c>
      <c r="I63" s="9">
        <v>104.13</v>
      </c>
      <c r="J63" s="44" t="s">
        <v>3705</v>
      </c>
      <c r="K63" s="5">
        <v>6</v>
      </c>
      <c r="L63" s="5">
        <v>20</v>
      </c>
      <c r="M63" s="95">
        <v>44751</v>
      </c>
      <c r="N63" s="44" t="s">
        <v>3758</v>
      </c>
      <c r="O63" s="112">
        <v>44661</v>
      </c>
      <c r="P63" s="25" t="s">
        <v>28</v>
      </c>
      <c r="Q63" s="2" t="s">
        <v>3746</v>
      </c>
      <c r="R63" s="74" t="s">
        <v>287</v>
      </c>
      <c r="S63" t="s">
        <v>3771</v>
      </c>
    </row>
    <row r="64" spans="1:19" x14ac:dyDescent="0.3">
      <c r="A64" s="81" t="s">
        <v>1575</v>
      </c>
      <c r="B64" s="27" t="s">
        <v>1806</v>
      </c>
      <c r="C64" s="2" t="s">
        <v>3783</v>
      </c>
      <c r="D64" s="112">
        <v>44782</v>
      </c>
      <c r="E64" s="19">
        <v>308601213</v>
      </c>
      <c r="F64" s="112">
        <v>44904</v>
      </c>
      <c r="G64" s="2" t="s">
        <v>3784</v>
      </c>
      <c r="H64" s="2" t="s">
        <v>3785</v>
      </c>
      <c r="I64" s="2">
        <v>10</v>
      </c>
      <c r="J64" s="2"/>
      <c r="K64" s="2"/>
      <c r="L64" s="2"/>
      <c r="M64" s="2"/>
      <c r="N64" s="44" t="s">
        <v>3757</v>
      </c>
      <c r="O64" s="2"/>
      <c r="P64" s="2" t="s">
        <v>3601</v>
      </c>
      <c r="R64" s="74" t="s">
        <v>1575</v>
      </c>
      <c r="S64" s="74" t="s">
        <v>3786</v>
      </c>
    </row>
    <row r="65" spans="1:20" x14ac:dyDescent="0.3">
      <c r="A65" s="81" t="s">
        <v>1438</v>
      </c>
      <c r="B65" s="27" t="s">
        <v>934</v>
      </c>
      <c r="C65" s="25" t="s">
        <v>3787</v>
      </c>
      <c r="D65" s="2" t="s">
        <v>779</v>
      </c>
      <c r="E65" s="25" t="s">
        <v>3788</v>
      </c>
      <c r="F65" s="2" t="s">
        <v>3610</v>
      </c>
      <c r="G65" s="2" t="s">
        <v>3769</v>
      </c>
      <c r="H65" s="16" t="s">
        <v>205</v>
      </c>
      <c r="I65" s="65">
        <v>24</v>
      </c>
      <c r="J65" s="65" t="s">
        <v>3689</v>
      </c>
      <c r="K65" s="2">
        <v>1</v>
      </c>
      <c r="L65" s="2">
        <v>20</v>
      </c>
      <c r="M65" s="2"/>
      <c r="N65" s="2" t="s">
        <v>3770</v>
      </c>
      <c r="O65" s="2" t="s">
        <v>3789</v>
      </c>
      <c r="P65" s="2" t="s">
        <v>28</v>
      </c>
      <c r="Q65" s="2" t="s">
        <v>3771</v>
      </c>
      <c r="R65" s="74" t="s">
        <v>1438</v>
      </c>
      <c r="S65" s="74" t="s">
        <v>3790</v>
      </c>
      <c r="T65" s="74" t="s">
        <v>3789</v>
      </c>
    </row>
    <row r="66" spans="1:20" x14ac:dyDescent="0.3">
      <c r="A66" s="81" t="s">
        <v>1438</v>
      </c>
      <c r="B66" s="27" t="s">
        <v>934</v>
      </c>
      <c r="C66" s="25" t="s">
        <v>3791</v>
      </c>
      <c r="D66" s="112">
        <v>44744</v>
      </c>
      <c r="E66" s="25" t="s">
        <v>3792</v>
      </c>
      <c r="F66" s="2" t="s">
        <v>3564</v>
      </c>
      <c r="G66" s="2" t="s">
        <v>3769</v>
      </c>
      <c r="H66" s="16" t="s">
        <v>205</v>
      </c>
      <c r="I66" s="65">
        <v>24</v>
      </c>
      <c r="J66" s="65" t="s">
        <v>3689</v>
      </c>
      <c r="K66" s="2">
        <v>1</v>
      </c>
      <c r="L66" s="2">
        <v>20</v>
      </c>
      <c r="M66" s="2"/>
      <c r="N66" s="2" t="s">
        <v>3770</v>
      </c>
      <c r="O66" s="2" t="s">
        <v>3789</v>
      </c>
      <c r="P66" s="2" t="s">
        <v>28</v>
      </c>
      <c r="Q66" s="2" t="s">
        <v>3765</v>
      </c>
      <c r="R66" s="74" t="s">
        <v>1438</v>
      </c>
      <c r="S66" s="74" t="s">
        <v>3793</v>
      </c>
      <c r="T66" s="74" t="s">
        <v>3789</v>
      </c>
    </row>
    <row r="67" spans="1:20" ht="15.6" x14ac:dyDescent="0.3">
      <c r="A67" s="81" t="s">
        <v>38</v>
      </c>
      <c r="B67" s="27" t="s">
        <v>1460</v>
      </c>
      <c r="C67" s="245" t="s">
        <v>3794</v>
      </c>
      <c r="D67" s="2" t="s">
        <v>3634</v>
      </c>
      <c r="E67" s="15" t="s">
        <v>3795</v>
      </c>
      <c r="F67" s="2" t="s">
        <v>3572</v>
      </c>
      <c r="G67" s="2" t="s">
        <v>3756</v>
      </c>
      <c r="H67" s="20" t="s">
        <v>87</v>
      </c>
      <c r="I67" s="20">
        <v>511.15</v>
      </c>
      <c r="J67" s="95">
        <v>44690</v>
      </c>
      <c r="K67" s="5">
        <v>20</v>
      </c>
      <c r="L67" s="5">
        <v>20</v>
      </c>
      <c r="M67" s="95">
        <v>44721</v>
      </c>
      <c r="N67" s="25" t="s">
        <v>3758</v>
      </c>
      <c r="O67" s="112">
        <v>44661</v>
      </c>
      <c r="P67" s="2" t="s">
        <v>28</v>
      </c>
      <c r="Q67" s="2" t="s">
        <v>3786</v>
      </c>
      <c r="R67" t="s">
        <v>3796</v>
      </c>
      <c r="S67" t="s">
        <v>3797</v>
      </c>
    </row>
    <row r="68" spans="1:20" x14ac:dyDescent="0.3">
      <c r="A68" s="81" t="s">
        <v>60</v>
      </c>
      <c r="B68" s="36" t="s">
        <v>1460</v>
      </c>
      <c r="C68" s="6" t="s">
        <v>3798</v>
      </c>
      <c r="D68" s="2" t="s">
        <v>3616</v>
      </c>
      <c r="E68" s="19">
        <v>219453297</v>
      </c>
      <c r="F68" s="2" t="s">
        <v>3634</v>
      </c>
      <c r="G68" s="2" t="s">
        <v>3656</v>
      </c>
      <c r="H68" s="20" t="s">
        <v>243</v>
      </c>
      <c r="I68" s="8">
        <v>260.26</v>
      </c>
      <c r="J68" s="44" t="s">
        <v>3675</v>
      </c>
      <c r="K68" s="5">
        <v>10</v>
      </c>
      <c r="L68" s="5">
        <v>20</v>
      </c>
      <c r="M68" s="95">
        <v>44721</v>
      </c>
      <c r="N68" s="44" t="s">
        <v>3786</v>
      </c>
      <c r="O68" s="112">
        <v>44783</v>
      </c>
      <c r="P68" s="25" t="s">
        <v>28</v>
      </c>
      <c r="Q68" s="2" t="s">
        <v>3746</v>
      </c>
      <c r="R68" t="s">
        <v>3799</v>
      </c>
      <c r="S68" t="s">
        <v>3789</v>
      </c>
    </row>
    <row r="69" spans="1:20" x14ac:dyDescent="0.3">
      <c r="A69" s="81" t="s">
        <v>38</v>
      </c>
      <c r="B69" s="27" t="s">
        <v>2133</v>
      </c>
      <c r="C69" s="6" t="s">
        <v>3800</v>
      </c>
      <c r="D69" s="2" t="s">
        <v>3616</v>
      </c>
      <c r="E69" s="19">
        <v>219939897</v>
      </c>
      <c r="F69" s="19" t="s">
        <v>3595</v>
      </c>
      <c r="G69" s="2" t="s">
        <v>3585</v>
      </c>
      <c r="H69" s="2" t="s">
        <v>3801</v>
      </c>
      <c r="I69" s="20">
        <v>499.67</v>
      </c>
      <c r="J69" s="2" t="s">
        <v>3611</v>
      </c>
      <c r="K69" s="5">
        <v>20</v>
      </c>
      <c r="L69" s="5">
        <v>20</v>
      </c>
      <c r="M69" s="95" t="s">
        <v>3700</v>
      </c>
      <c r="N69" s="25" t="s">
        <v>3786</v>
      </c>
      <c r="O69" s="112">
        <v>44783</v>
      </c>
      <c r="P69" s="2" t="s">
        <v>121</v>
      </c>
      <c r="Q69" s="2" t="s">
        <v>3733</v>
      </c>
      <c r="R69" t="s">
        <v>38</v>
      </c>
      <c r="S69" t="s">
        <v>3802</v>
      </c>
    </row>
    <row r="70" spans="1:20" x14ac:dyDescent="0.3">
      <c r="A70" s="81" t="s">
        <v>38</v>
      </c>
      <c r="B70" s="27" t="s">
        <v>3754</v>
      </c>
      <c r="C70" s="6" t="s">
        <v>3755</v>
      </c>
      <c r="D70" s="95">
        <v>44749</v>
      </c>
      <c r="E70" s="19">
        <v>219783218</v>
      </c>
      <c r="F70" s="2" t="s">
        <v>3589</v>
      </c>
      <c r="G70" s="2" t="s">
        <v>3756</v>
      </c>
      <c r="H70" s="2" t="s">
        <v>1459</v>
      </c>
      <c r="I70" s="20">
        <v>43.8</v>
      </c>
      <c r="J70" s="2" t="s">
        <v>3611</v>
      </c>
      <c r="K70" s="5">
        <v>2</v>
      </c>
      <c r="L70" s="5">
        <v>20</v>
      </c>
      <c r="M70" s="2" t="s">
        <v>3700</v>
      </c>
      <c r="N70" s="95" t="s">
        <v>3803</v>
      </c>
      <c r="O70" s="112">
        <v>44783</v>
      </c>
      <c r="P70" s="2" t="s">
        <v>121</v>
      </c>
      <c r="Q70" s="2" t="s">
        <v>3733</v>
      </c>
      <c r="R70" s="18" t="s">
        <v>38</v>
      </c>
      <c r="S70" s="18" t="s">
        <v>3802</v>
      </c>
    </row>
    <row r="71" spans="1:20" x14ac:dyDescent="0.3">
      <c r="A71" s="81" t="s">
        <v>60</v>
      </c>
      <c r="B71" s="27" t="s">
        <v>510</v>
      </c>
      <c r="C71" s="2" t="s">
        <v>3804</v>
      </c>
      <c r="D71" s="95">
        <v>44904</v>
      </c>
      <c r="E71" s="2" t="s">
        <v>3805</v>
      </c>
      <c r="F71" s="2" t="s">
        <v>3675</v>
      </c>
      <c r="G71" s="2" t="s">
        <v>3806</v>
      </c>
      <c r="H71" s="20" t="s">
        <v>3807</v>
      </c>
      <c r="I71" s="2">
        <v>125</v>
      </c>
      <c r="J71" s="44" t="s">
        <v>3700</v>
      </c>
      <c r="K71" s="5">
        <v>5</v>
      </c>
      <c r="L71" s="5">
        <v>20</v>
      </c>
      <c r="M71" s="2" t="s">
        <v>3808</v>
      </c>
      <c r="N71" s="44" t="s">
        <v>3803</v>
      </c>
      <c r="O71" s="112">
        <v>44783</v>
      </c>
      <c r="P71" s="25" t="s">
        <v>28</v>
      </c>
      <c r="Q71" s="2" t="s">
        <v>3789</v>
      </c>
      <c r="R71" s="74" t="s">
        <v>191</v>
      </c>
      <c r="S71" t="s">
        <v>3809</v>
      </c>
    </row>
    <row r="72" spans="1:20" ht="43.2" x14ac:dyDescent="0.3">
      <c r="A72" s="81" t="s">
        <v>1575</v>
      </c>
      <c r="B72" s="261" t="s">
        <v>384</v>
      </c>
      <c r="C72" s="253" t="s">
        <v>3810</v>
      </c>
      <c r="D72" s="250" t="s">
        <v>3811</v>
      </c>
      <c r="E72" s="251" t="s">
        <v>3812</v>
      </c>
      <c r="F72" s="2" t="s">
        <v>3765</v>
      </c>
      <c r="G72" s="2" t="s">
        <v>3813</v>
      </c>
      <c r="H72" s="249" t="s">
        <v>3576</v>
      </c>
      <c r="I72" s="250">
        <v>54</v>
      </c>
      <c r="J72" s="2"/>
      <c r="K72" s="2">
        <v>2</v>
      </c>
      <c r="L72" s="2"/>
      <c r="M72" s="2"/>
      <c r="N72" s="219" t="s">
        <v>3814</v>
      </c>
      <c r="O72" s="2"/>
      <c r="P72" s="2" t="s">
        <v>28</v>
      </c>
      <c r="Q72" s="2" t="s">
        <v>3809</v>
      </c>
      <c r="R72" s="18" t="s">
        <v>1575</v>
      </c>
      <c r="S72" s="137">
        <v>44602</v>
      </c>
    </row>
    <row r="73" spans="1:20" x14ac:dyDescent="0.3">
      <c r="A73" s="81" t="s">
        <v>38</v>
      </c>
      <c r="B73" s="27" t="s">
        <v>891</v>
      </c>
      <c r="C73" s="2"/>
      <c r="D73" s="2"/>
      <c r="E73" s="2" t="s">
        <v>3815</v>
      </c>
      <c r="F73" s="2" t="s">
        <v>3757</v>
      </c>
      <c r="G73" s="2" t="s">
        <v>1331</v>
      </c>
      <c r="H73" s="2" t="s">
        <v>893</v>
      </c>
      <c r="I73" s="20">
        <v>5</v>
      </c>
      <c r="J73" s="2"/>
      <c r="K73" s="2"/>
      <c r="L73" s="2"/>
      <c r="M73" s="2"/>
      <c r="N73" s="2" t="s">
        <v>3809</v>
      </c>
      <c r="O73" s="2"/>
      <c r="P73" s="2" t="s">
        <v>28</v>
      </c>
      <c r="Q73" s="2"/>
      <c r="R73" s="74" t="s">
        <v>38</v>
      </c>
      <c r="S73" s="74" t="s">
        <v>3809</v>
      </c>
    </row>
    <row r="74" spans="1:20" x14ac:dyDescent="0.3">
      <c r="A74" s="81" t="s">
        <v>60</v>
      </c>
      <c r="B74" s="27" t="s">
        <v>510</v>
      </c>
      <c r="C74" s="2" t="s">
        <v>3816</v>
      </c>
      <c r="D74" s="95">
        <v>44690</v>
      </c>
      <c r="E74" s="2" t="s">
        <v>3817</v>
      </c>
      <c r="F74" s="112">
        <v>44660</v>
      </c>
      <c r="G74" s="2" t="s">
        <v>3806</v>
      </c>
      <c r="H74" s="20" t="s">
        <v>3807</v>
      </c>
      <c r="I74" s="8">
        <v>125</v>
      </c>
      <c r="J74" s="112">
        <v>44904</v>
      </c>
      <c r="K74" s="5">
        <v>5</v>
      </c>
      <c r="L74" s="5">
        <v>20</v>
      </c>
      <c r="M74" s="2" t="s">
        <v>3803</v>
      </c>
      <c r="N74" s="112">
        <v>44602</v>
      </c>
      <c r="O74" s="2" t="s">
        <v>3818</v>
      </c>
      <c r="P74" s="25" t="s">
        <v>28</v>
      </c>
      <c r="Q74" s="2" t="s">
        <v>3786</v>
      </c>
      <c r="R74" s="18" t="s">
        <v>3660</v>
      </c>
      <c r="S74" s="138">
        <v>44844</v>
      </c>
    </row>
    <row r="75" spans="1:20" x14ac:dyDescent="0.3">
      <c r="A75" s="81" t="s">
        <v>38</v>
      </c>
      <c r="B75" s="27" t="s">
        <v>2417</v>
      </c>
      <c r="C75" s="2" t="s">
        <v>3819</v>
      </c>
      <c r="D75" s="2" t="s">
        <v>3595</v>
      </c>
      <c r="E75" s="2" t="s">
        <v>3820</v>
      </c>
      <c r="F75" s="2" t="s">
        <v>3821</v>
      </c>
      <c r="G75" s="2" t="s">
        <v>3822</v>
      </c>
      <c r="H75" s="45" t="s">
        <v>3823</v>
      </c>
      <c r="I75" s="20">
        <v>5</v>
      </c>
      <c r="J75" s="2" t="s">
        <v>3808</v>
      </c>
      <c r="K75" s="5">
        <v>1</v>
      </c>
      <c r="L75" s="5">
        <v>20</v>
      </c>
      <c r="M75" s="95" t="s">
        <v>3757</v>
      </c>
      <c r="N75" s="246" t="s">
        <v>3824</v>
      </c>
      <c r="O75" s="2">
        <v>14</v>
      </c>
      <c r="P75" s="2" t="s">
        <v>28</v>
      </c>
      <c r="Q75" s="95">
        <v>44874</v>
      </c>
      <c r="R75" s="18" t="s">
        <v>3825</v>
      </c>
      <c r="S75" s="18" t="s">
        <v>3826</v>
      </c>
    </row>
    <row r="76" spans="1:20" x14ac:dyDescent="0.3">
      <c r="A76" s="81" t="s">
        <v>38</v>
      </c>
      <c r="B76" s="27" t="s">
        <v>2417</v>
      </c>
      <c r="C76" s="2" t="s">
        <v>3819</v>
      </c>
      <c r="D76" s="2" t="s">
        <v>3595</v>
      </c>
      <c r="E76" s="2" t="s">
        <v>3827</v>
      </c>
      <c r="F76" s="2" t="s">
        <v>3821</v>
      </c>
      <c r="G76" s="2" t="s">
        <v>3822</v>
      </c>
      <c r="H76" s="45" t="s">
        <v>1311</v>
      </c>
      <c r="I76" s="20">
        <v>5</v>
      </c>
      <c r="J76" s="2" t="s">
        <v>3808</v>
      </c>
      <c r="K76" s="5">
        <v>1</v>
      </c>
      <c r="L76" s="5">
        <v>20</v>
      </c>
      <c r="M76" s="95" t="s">
        <v>3757</v>
      </c>
      <c r="N76" s="246" t="s">
        <v>3824</v>
      </c>
      <c r="O76" s="2">
        <v>14</v>
      </c>
      <c r="P76" s="2" t="s">
        <v>28</v>
      </c>
      <c r="Q76" s="95">
        <v>44874</v>
      </c>
      <c r="R76" s="18" t="s">
        <v>3825</v>
      </c>
      <c r="S76" s="18" t="s">
        <v>3826</v>
      </c>
    </row>
    <row r="77" spans="1:20" x14ac:dyDescent="0.3">
      <c r="A77" s="81" t="s">
        <v>38</v>
      </c>
      <c r="B77" s="2" t="s">
        <v>369</v>
      </c>
      <c r="C77" s="2" t="s">
        <v>3828</v>
      </c>
      <c r="D77" s="2" t="s">
        <v>3700</v>
      </c>
      <c r="E77" s="2" t="s">
        <v>3829</v>
      </c>
      <c r="F77" s="95">
        <v>44571</v>
      </c>
      <c r="G77" s="2" t="s">
        <v>3630</v>
      </c>
      <c r="H77" s="2" t="s">
        <v>70</v>
      </c>
      <c r="I77" s="20">
        <v>125</v>
      </c>
      <c r="J77" s="2"/>
      <c r="K77" s="2"/>
      <c r="L77" s="2"/>
      <c r="M77" s="2"/>
      <c r="N77" s="2"/>
      <c r="O77" s="2"/>
      <c r="P77" s="2" t="s">
        <v>212</v>
      </c>
      <c r="Q77" s="2"/>
    </row>
    <row r="78" spans="1:20" ht="86.4" x14ac:dyDescent="0.3">
      <c r="A78" s="81" t="s">
        <v>287</v>
      </c>
      <c r="B78" s="261" t="s">
        <v>3830</v>
      </c>
      <c r="C78" s="252" t="s">
        <v>3831</v>
      </c>
      <c r="D78" s="2" t="s">
        <v>3649</v>
      </c>
      <c r="E78" s="266" t="s">
        <v>3832</v>
      </c>
      <c r="F78" s="112">
        <v>44690</v>
      </c>
      <c r="G78" s="2" t="s">
        <v>3833</v>
      </c>
      <c r="H78" s="35" t="s">
        <v>24</v>
      </c>
      <c r="I78" s="256">
        <v>106.995</v>
      </c>
      <c r="J78" s="2" t="s">
        <v>3808</v>
      </c>
      <c r="K78" s="260">
        <v>6</v>
      </c>
      <c r="L78" s="2">
        <v>20</v>
      </c>
      <c r="M78" s="2" t="s">
        <v>3808</v>
      </c>
      <c r="N78" s="95">
        <v>44691</v>
      </c>
      <c r="O78" s="2" t="s">
        <v>3834</v>
      </c>
      <c r="P78" s="259" t="s">
        <v>28</v>
      </c>
      <c r="Q78" s="266" t="s">
        <v>3835</v>
      </c>
      <c r="R78" s="18" t="s">
        <v>3834</v>
      </c>
      <c r="S78" s="18" t="s">
        <v>287</v>
      </c>
    </row>
    <row r="79" spans="1:20" ht="28.8" x14ac:dyDescent="0.3">
      <c r="A79" s="81" t="s">
        <v>60</v>
      </c>
      <c r="B79" s="27" t="s">
        <v>485</v>
      </c>
      <c r="C79" s="2" t="s">
        <v>3836</v>
      </c>
      <c r="D79" s="2" t="s">
        <v>3771</v>
      </c>
      <c r="E79" s="2"/>
      <c r="F79" s="2"/>
      <c r="G79" s="2" t="s">
        <v>1767</v>
      </c>
      <c r="H79" s="20" t="s">
        <v>205</v>
      </c>
      <c r="I79" s="8">
        <v>90</v>
      </c>
      <c r="J79" s="2"/>
      <c r="K79" s="2"/>
      <c r="L79" s="2"/>
      <c r="M79" s="2"/>
      <c r="N79" s="2" t="s">
        <v>3837</v>
      </c>
      <c r="O79" s="2">
        <v>2</v>
      </c>
      <c r="P79" s="25" t="s">
        <v>28</v>
      </c>
      <c r="Q79" s="266" t="s">
        <v>3838</v>
      </c>
      <c r="R79" s="74" t="s">
        <v>3839</v>
      </c>
      <c r="S79" s="74" t="s">
        <v>191</v>
      </c>
    </row>
    <row r="80" spans="1:20" x14ac:dyDescent="0.3">
      <c r="A80" s="81" t="s">
        <v>60</v>
      </c>
      <c r="B80" s="27" t="s">
        <v>3840</v>
      </c>
      <c r="C80" s="4" t="s">
        <v>3841</v>
      </c>
      <c r="D80" s="2" t="s">
        <v>3797</v>
      </c>
      <c r="E80" s="2"/>
      <c r="F80" s="2"/>
      <c r="G80" s="2"/>
      <c r="H80" s="20" t="s">
        <v>205</v>
      </c>
      <c r="I80" s="10">
        <v>30</v>
      </c>
      <c r="J80" s="2"/>
      <c r="K80" s="2"/>
      <c r="L80" s="2"/>
      <c r="M80" s="2"/>
      <c r="N80" s="112">
        <v>44905</v>
      </c>
      <c r="O80" s="2"/>
      <c r="P80" s="2" t="s">
        <v>28</v>
      </c>
      <c r="Q80" s="2" t="s">
        <v>3842</v>
      </c>
      <c r="R80" s="74" t="s">
        <v>3843</v>
      </c>
      <c r="S80" t="s">
        <v>191</v>
      </c>
    </row>
    <row r="81" spans="1:19" x14ac:dyDescent="0.3">
      <c r="A81" s="81" t="s">
        <v>38</v>
      </c>
      <c r="B81" s="27" t="s">
        <v>1556</v>
      </c>
      <c r="C81" s="15" t="s">
        <v>3844</v>
      </c>
      <c r="D81" s="2" t="s">
        <v>3766</v>
      </c>
      <c r="E81" s="15" t="s">
        <v>3845</v>
      </c>
      <c r="F81" s="95">
        <v>44569</v>
      </c>
      <c r="G81" s="2" t="s">
        <v>3846</v>
      </c>
      <c r="H81" s="6" t="s">
        <v>1422</v>
      </c>
      <c r="I81" s="20">
        <v>230</v>
      </c>
      <c r="J81" s="2"/>
      <c r="K81" s="5">
        <v>10</v>
      </c>
      <c r="L81" s="5">
        <v>20</v>
      </c>
      <c r="M81" s="2" t="s">
        <v>3802</v>
      </c>
      <c r="N81" s="2" t="s">
        <v>3847</v>
      </c>
      <c r="O81" s="2" t="s">
        <v>3848</v>
      </c>
      <c r="P81" s="2" t="s">
        <v>28</v>
      </c>
      <c r="Q81" s="2" t="s">
        <v>3849</v>
      </c>
      <c r="R81" s="18" t="s">
        <v>3839</v>
      </c>
      <c r="S81" s="137" t="s">
        <v>38</v>
      </c>
    </row>
    <row r="82" spans="1:19" ht="43.2" x14ac:dyDescent="0.3">
      <c r="A82" s="81" t="s">
        <v>287</v>
      </c>
      <c r="B82" s="27" t="s">
        <v>3830</v>
      </c>
      <c r="C82" s="2" t="s">
        <v>3850</v>
      </c>
      <c r="D82" s="2" t="s">
        <v>3733</v>
      </c>
      <c r="E82" s="2" t="s">
        <v>3851</v>
      </c>
      <c r="F82" s="112">
        <v>44813</v>
      </c>
      <c r="G82" s="2" t="s">
        <v>3833</v>
      </c>
      <c r="H82" s="2" t="s">
        <v>24</v>
      </c>
      <c r="I82" s="2">
        <v>103.36</v>
      </c>
      <c r="J82" s="2" t="s">
        <v>3746</v>
      </c>
      <c r="K82" s="2">
        <v>6</v>
      </c>
      <c r="L82" s="2">
        <v>20</v>
      </c>
      <c r="M82" s="2" t="s">
        <v>3789</v>
      </c>
      <c r="N82" s="95">
        <v>44814</v>
      </c>
      <c r="O82" s="2" t="s">
        <v>3852</v>
      </c>
      <c r="P82" s="2" t="s">
        <v>28</v>
      </c>
      <c r="Q82" s="266" t="s">
        <v>3853</v>
      </c>
      <c r="R82" s="18" t="s">
        <v>3843</v>
      </c>
      <c r="S82" s="137" t="s">
        <v>287</v>
      </c>
    </row>
    <row r="83" spans="1:19" ht="43.2" x14ac:dyDescent="0.3">
      <c r="A83" s="81" t="s">
        <v>1575</v>
      </c>
      <c r="B83" s="261" t="s">
        <v>384</v>
      </c>
      <c r="C83" s="252" t="s">
        <v>3854</v>
      </c>
      <c r="D83" s="219" t="s">
        <v>3855</v>
      </c>
      <c r="E83" s="251" t="s">
        <v>3856</v>
      </c>
      <c r="F83" s="112">
        <v>44905</v>
      </c>
      <c r="G83" s="2" t="s">
        <v>3813</v>
      </c>
      <c r="H83" s="249" t="s">
        <v>3857</v>
      </c>
      <c r="I83" s="250">
        <v>27</v>
      </c>
      <c r="J83" s="2"/>
      <c r="K83" s="2">
        <v>1</v>
      </c>
      <c r="L83" s="2"/>
      <c r="M83" s="2" t="s">
        <v>3834</v>
      </c>
      <c r="N83" s="262" t="s">
        <v>3858</v>
      </c>
      <c r="O83" s="2"/>
      <c r="P83" s="2" t="s">
        <v>28</v>
      </c>
      <c r="Q83" s="2" t="s">
        <v>3859</v>
      </c>
      <c r="R83" s="74" t="s">
        <v>3860</v>
      </c>
      <c r="S83" s="74" t="s">
        <v>1575</v>
      </c>
    </row>
    <row r="84" spans="1:19" x14ac:dyDescent="0.3">
      <c r="A84" s="81" t="s">
        <v>1575</v>
      </c>
      <c r="B84" s="607" t="s">
        <v>124</v>
      </c>
      <c r="C84" s="608" t="s">
        <v>3861</v>
      </c>
      <c r="D84" s="257" t="s">
        <v>3862</v>
      </c>
      <c r="E84" s="608">
        <v>801603144</v>
      </c>
      <c r="F84" s="264">
        <v>44875</v>
      </c>
      <c r="G84" s="608" t="s">
        <v>3863</v>
      </c>
      <c r="H84" s="249" t="s">
        <v>1892</v>
      </c>
      <c r="I84" s="256">
        <v>28500</v>
      </c>
      <c r="J84" s="2"/>
      <c r="K84" s="2"/>
      <c r="L84" s="2"/>
      <c r="M84" s="2"/>
      <c r="N84" s="2" t="s">
        <v>3864</v>
      </c>
      <c r="O84" s="2"/>
      <c r="P84" s="606" t="s">
        <v>28</v>
      </c>
      <c r="Q84" s="2" t="s">
        <v>3859</v>
      </c>
      <c r="R84" s="74" t="s">
        <v>3860</v>
      </c>
      <c r="S84" s="74" t="s">
        <v>1575</v>
      </c>
    </row>
    <row r="85" spans="1:19" ht="28.8" x14ac:dyDescent="0.3">
      <c r="B85" s="607"/>
      <c r="C85" s="608"/>
      <c r="D85" s="219"/>
      <c r="E85" s="608"/>
      <c r="F85" s="264">
        <v>44875</v>
      </c>
      <c r="G85" s="608"/>
      <c r="H85" s="249" t="s">
        <v>1137</v>
      </c>
      <c r="I85" s="256">
        <v>1500</v>
      </c>
      <c r="J85" s="2"/>
      <c r="K85" s="2"/>
      <c r="L85" s="2"/>
      <c r="M85" s="2"/>
      <c r="N85" s="2" t="s">
        <v>3864</v>
      </c>
      <c r="O85" s="2"/>
      <c r="P85" s="606"/>
      <c r="Q85" s="2"/>
    </row>
    <row r="86" spans="1:19" ht="55.2" x14ac:dyDescent="0.3">
      <c r="A86" t="s">
        <v>287</v>
      </c>
      <c r="B86" s="254" t="s">
        <v>3622</v>
      </c>
      <c r="C86" s="2" t="s">
        <v>3865</v>
      </c>
      <c r="D86" s="219" t="s">
        <v>3866</v>
      </c>
      <c r="E86" s="251" t="s">
        <v>3867</v>
      </c>
      <c r="F86" s="264">
        <v>44905</v>
      </c>
      <c r="G86" s="252" t="s">
        <v>3868</v>
      </c>
      <c r="H86" s="249" t="s">
        <v>292</v>
      </c>
      <c r="I86" s="256">
        <v>9976</v>
      </c>
      <c r="J86" s="2"/>
      <c r="K86" s="2"/>
      <c r="L86" s="2"/>
      <c r="M86" s="2"/>
      <c r="N86" s="2" t="s">
        <v>3869</v>
      </c>
      <c r="O86" s="2"/>
      <c r="P86" s="219" t="s">
        <v>28</v>
      </c>
      <c r="Q86" s="219" t="s">
        <v>3859</v>
      </c>
      <c r="R86" s="18" t="s">
        <v>3852</v>
      </c>
      <c r="S86" s="137" t="s">
        <v>287</v>
      </c>
    </row>
    <row r="87" spans="1:19" ht="43.2" x14ac:dyDescent="0.3">
      <c r="A87" t="s">
        <v>287</v>
      </c>
      <c r="B87" s="265" t="s">
        <v>3870</v>
      </c>
      <c r="C87" s="251" t="s">
        <v>3871</v>
      </c>
      <c r="D87" s="219" t="s">
        <v>3862</v>
      </c>
      <c r="E87" s="263">
        <v>308601239</v>
      </c>
      <c r="F87" s="264">
        <v>44905</v>
      </c>
      <c r="G87" s="252" t="s">
        <v>3863</v>
      </c>
      <c r="H87" s="249" t="s">
        <v>760</v>
      </c>
      <c r="I87" s="256">
        <v>20</v>
      </c>
      <c r="J87" s="2"/>
      <c r="K87" s="2"/>
      <c r="L87" s="2"/>
      <c r="M87" s="2"/>
      <c r="N87" s="2" t="s">
        <v>3872</v>
      </c>
      <c r="O87" s="2"/>
      <c r="P87" s="219" t="s">
        <v>28</v>
      </c>
      <c r="Q87" s="219" t="s">
        <v>3852</v>
      </c>
      <c r="R87" s="18" t="s">
        <v>3852</v>
      </c>
      <c r="S87" s="137" t="s">
        <v>287</v>
      </c>
    </row>
    <row r="88" spans="1:19" ht="41.4" x14ac:dyDescent="0.3">
      <c r="A88" t="s">
        <v>287</v>
      </c>
      <c r="B88" s="254" t="s">
        <v>3190</v>
      </c>
      <c r="C88" s="35" t="s">
        <v>3873</v>
      </c>
      <c r="D88" s="250" t="s">
        <v>3874</v>
      </c>
      <c r="E88" s="252" t="s">
        <v>3875</v>
      </c>
      <c r="F88" s="219"/>
      <c r="G88" s="252"/>
      <c r="H88" s="2" t="s">
        <v>333</v>
      </c>
      <c r="I88" s="250">
        <v>20</v>
      </c>
      <c r="J88" s="2"/>
      <c r="K88" s="2"/>
      <c r="L88" s="2"/>
      <c r="M88" s="2"/>
      <c r="N88" s="2"/>
      <c r="O88" s="2"/>
      <c r="P88" s="219" t="s">
        <v>28</v>
      </c>
      <c r="Q88" s="219" t="s">
        <v>3852</v>
      </c>
      <c r="R88" s="18" t="s">
        <v>3852</v>
      </c>
      <c r="S88" s="137" t="s">
        <v>287</v>
      </c>
    </row>
    <row r="89" spans="1:19" x14ac:dyDescent="0.3">
      <c r="A89" t="s">
        <v>60</v>
      </c>
      <c r="B89" s="27" t="s">
        <v>3876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>
        <v>2</v>
      </c>
      <c r="P89" s="2"/>
      <c r="Q89" s="2"/>
      <c r="R89" s="74" t="s">
        <v>3860</v>
      </c>
      <c r="S89" s="137" t="s">
        <v>191</v>
      </c>
    </row>
    <row r="90" spans="1:19" ht="17.399999999999999" x14ac:dyDescent="0.4">
      <c r="A90" t="s">
        <v>60</v>
      </c>
      <c r="B90" s="27" t="s">
        <v>2417</v>
      </c>
      <c r="C90" s="2" t="s">
        <v>3877</v>
      </c>
      <c r="D90" s="95">
        <v>44781</v>
      </c>
      <c r="E90" s="2" t="s">
        <v>3878</v>
      </c>
      <c r="F90" s="95">
        <v>44570</v>
      </c>
      <c r="G90" s="2" t="s">
        <v>3879</v>
      </c>
      <c r="H90" s="248" t="s">
        <v>102</v>
      </c>
      <c r="I90" s="8">
        <v>17.5</v>
      </c>
      <c r="J90" s="19" t="s">
        <v>3789</v>
      </c>
      <c r="K90" s="5">
        <v>1</v>
      </c>
      <c r="L90" s="5">
        <v>20</v>
      </c>
      <c r="M90" s="95">
        <v>44752</v>
      </c>
      <c r="N90" s="156" t="s">
        <v>3880</v>
      </c>
      <c r="O90" s="112">
        <v>44662</v>
      </c>
      <c r="P90" s="25" t="s">
        <v>28</v>
      </c>
      <c r="Q90" s="2" t="s">
        <v>3834</v>
      </c>
      <c r="R90" s="74" t="s">
        <v>38</v>
      </c>
      <c r="S90" s="137">
        <v>44572</v>
      </c>
    </row>
    <row r="91" spans="1:19" x14ac:dyDescent="0.3">
      <c r="A91" t="s">
        <v>38</v>
      </c>
      <c r="B91" s="27" t="s">
        <v>825</v>
      </c>
      <c r="C91" s="6" t="s">
        <v>3881</v>
      </c>
      <c r="D91" s="2" t="s">
        <v>3825</v>
      </c>
      <c r="E91" s="2" t="s">
        <v>3882</v>
      </c>
      <c r="F91" s="2" t="s">
        <v>3883</v>
      </c>
      <c r="G91" s="2" t="s">
        <v>3884</v>
      </c>
      <c r="H91" s="2" t="s">
        <v>3885</v>
      </c>
      <c r="I91" s="2" t="s">
        <v>3886</v>
      </c>
      <c r="J91" s="2"/>
      <c r="K91" s="2"/>
      <c r="L91" s="2"/>
      <c r="M91" s="112"/>
      <c r="N91" s="95">
        <v>44753</v>
      </c>
      <c r="O91" s="2"/>
      <c r="P91" s="2" t="s">
        <v>28</v>
      </c>
      <c r="Q91" s="2"/>
      <c r="R91" s="74" t="s">
        <v>38</v>
      </c>
      <c r="S91" s="137">
        <v>44753</v>
      </c>
    </row>
    <row r="92" spans="1:19" x14ac:dyDescent="0.3">
      <c r="A92" t="s">
        <v>38</v>
      </c>
      <c r="B92" s="27" t="s">
        <v>490</v>
      </c>
      <c r="C92" s="2" t="s">
        <v>3887</v>
      </c>
      <c r="D92" s="2" t="s">
        <v>3695</v>
      </c>
      <c r="E92" s="2" t="s">
        <v>3888</v>
      </c>
      <c r="F92" s="95">
        <v>44813</v>
      </c>
      <c r="G92" s="2" t="s">
        <v>3751</v>
      </c>
      <c r="H92" s="2" t="s">
        <v>102</v>
      </c>
      <c r="I92" s="20">
        <v>18.5</v>
      </c>
      <c r="J92" s="2" t="s">
        <v>3889</v>
      </c>
      <c r="K92" s="5">
        <v>1</v>
      </c>
      <c r="L92" s="5">
        <v>20</v>
      </c>
      <c r="M92" s="2" t="s">
        <v>3889</v>
      </c>
      <c r="N92" s="95">
        <v>44784</v>
      </c>
      <c r="O92" s="2" t="s">
        <v>3890</v>
      </c>
      <c r="P92" s="2" t="s">
        <v>28</v>
      </c>
      <c r="Q92" s="2" t="s">
        <v>3891</v>
      </c>
      <c r="R92" s="18" t="s">
        <v>38</v>
      </c>
      <c r="S92" s="138">
        <v>44876</v>
      </c>
    </row>
    <row r="93" spans="1:19" x14ac:dyDescent="0.3">
      <c r="A93" t="s">
        <v>287</v>
      </c>
      <c r="B93" s="27" t="s">
        <v>3830</v>
      </c>
      <c r="C93" s="2" t="s">
        <v>3892</v>
      </c>
      <c r="D93" s="2" t="s">
        <v>3757</v>
      </c>
      <c r="E93" s="2" t="s">
        <v>3893</v>
      </c>
      <c r="F93" s="44" t="s">
        <v>3771</v>
      </c>
      <c r="G93" s="2" t="s">
        <v>3833</v>
      </c>
      <c r="H93" s="2" t="s">
        <v>24</v>
      </c>
      <c r="I93" s="250">
        <v>103.78</v>
      </c>
      <c r="J93" s="2" t="s">
        <v>3839</v>
      </c>
      <c r="K93" s="2">
        <v>6</v>
      </c>
      <c r="L93" s="2">
        <v>20</v>
      </c>
      <c r="M93" s="95">
        <v>44905</v>
      </c>
      <c r="N93" s="95">
        <v>44784</v>
      </c>
      <c r="O93" s="2" t="s">
        <v>3894</v>
      </c>
      <c r="P93" s="2" t="s">
        <v>28</v>
      </c>
      <c r="Q93" s="2" t="s">
        <v>3859</v>
      </c>
      <c r="R93" s="74" t="s">
        <v>287</v>
      </c>
      <c r="S93" s="137">
        <v>44906</v>
      </c>
    </row>
    <row r="94" spans="1:19" ht="41.4" x14ac:dyDescent="0.3">
      <c r="A94" t="s">
        <v>294</v>
      </c>
      <c r="B94" s="268" t="s">
        <v>124</v>
      </c>
      <c r="C94" s="35" t="s">
        <v>3895</v>
      </c>
      <c r="D94" s="250" t="s">
        <v>3874</v>
      </c>
      <c r="E94" s="2"/>
      <c r="F94" s="112">
        <v>44815</v>
      </c>
      <c r="G94" s="2" t="s">
        <v>1482</v>
      </c>
      <c r="H94" s="249" t="s">
        <v>1892</v>
      </c>
      <c r="I94" s="250">
        <v>30</v>
      </c>
      <c r="J94" s="2"/>
      <c r="K94" s="2">
        <v>1</v>
      </c>
      <c r="L94" s="2"/>
      <c r="M94" s="2"/>
      <c r="N94" s="2"/>
      <c r="O94" s="2">
        <v>2</v>
      </c>
      <c r="P94" s="2" t="s">
        <v>28</v>
      </c>
      <c r="Q94" s="2"/>
      <c r="R94" s="74" t="s">
        <v>123</v>
      </c>
      <c r="S94" s="137">
        <v>44906</v>
      </c>
    </row>
    <row r="95" spans="1:19" x14ac:dyDescent="0.3">
      <c r="A95" t="s">
        <v>38</v>
      </c>
      <c r="B95" s="27" t="s">
        <v>895</v>
      </c>
      <c r="C95" s="270" t="s">
        <v>3896</v>
      </c>
      <c r="D95" s="2"/>
      <c r="E95" s="2"/>
      <c r="F95" s="2"/>
      <c r="G95" s="2"/>
      <c r="H95" s="2" t="s">
        <v>3897</v>
      </c>
      <c r="I95" s="2">
        <v>12500</v>
      </c>
      <c r="J95" s="2"/>
      <c r="K95" s="2"/>
      <c r="L95" s="2"/>
      <c r="M95" s="19"/>
      <c r="N95" s="95">
        <v>44906</v>
      </c>
      <c r="O95" s="2"/>
      <c r="P95" s="2" t="s">
        <v>28</v>
      </c>
      <c r="Q95" s="2"/>
      <c r="R95" s="74" t="s">
        <v>38</v>
      </c>
      <c r="S95" t="s">
        <v>3890</v>
      </c>
    </row>
    <row r="96" spans="1:19" ht="41.4" x14ac:dyDescent="0.3">
      <c r="A96" t="s">
        <v>1575</v>
      </c>
      <c r="B96" s="265" t="s">
        <v>3898</v>
      </c>
      <c r="C96" s="251" t="s">
        <v>3899</v>
      </c>
      <c r="D96" s="219" t="s">
        <v>3900</v>
      </c>
      <c r="E96" s="251" t="s">
        <v>3901</v>
      </c>
      <c r="F96" s="264">
        <v>44722</v>
      </c>
      <c r="G96" s="252" t="s">
        <v>312</v>
      </c>
      <c r="H96" s="2" t="s">
        <v>3902</v>
      </c>
      <c r="I96" s="256">
        <v>17.25</v>
      </c>
      <c r="J96" s="2"/>
      <c r="K96" s="2"/>
      <c r="L96" s="2"/>
      <c r="M96" s="95">
        <v>44784</v>
      </c>
      <c r="N96" s="2" t="s">
        <v>3903</v>
      </c>
      <c r="O96" s="2">
        <v>21</v>
      </c>
      <c r="P96" s="219" t="s">
        <v>121</v>
      </c>
      <c r="Q96" s="112">
        <v>44723</v>
      </c>
      <c r="R96" t="s">
        <v>1575</v>
      </c>
      <c r="S96" t="s">
        <v>3890</v>
      </c>
    </row>
    <row r="97" spans="1:19" x14ac:dyDescent="0.3">
      <c r="A97" t="s">
        <v>38</v>
      </c>
      <c r="B97" s="2" t="s">
        <v>3904</v>
      </c>
      <c r="C97" s="2" t="s">
        <v>3437</v>
      </c>
      <c r="D97" s="2"/>
      <c r="E97" s="2"/>
      <c r="F97" s="2"/>
      <c r="G97" s="2"/>
      <c r="H97" s="2" t="s">
        <v>3905</v>
      </c>
      <c r="I97" s="20">
        <v>650</v>
      </c>
      <c r="J97" s="2"/>
      <c r="K97" s="2"/>
      <c r="L97" s="2"/>
      <c r="M97" s="2"/>
      <c r="N97" s="2" t="s">
        <v>3890</v>
      </c>
      <c r="O97" s="2"/>
      <c r="P97" s="2"/>
      <c r="Q97" s="2" t="s">
        <v>3906</v>
      </c>
      <c r="R97" t="s">
        <v>38</v>
      </c>
      <c r="S97" t="s">
        <v>3890</v>
      </c>
    </row>
    <row r="98" spans="1:19" x14ac:dyDescent="0.3">
      <c r="A98" t="s">
        <v>38</v>
      </c>
      <c r="B98" s="2" t="s">
        <v>3904</v>
      </c>
      <c r="C98" s="2" t="s">
        <v>3437</v>
      </c>
      <c r="D98" s="2"/>
      <c r="E98" s="2"/>
      <c r="F98" s="2"/>
      <c r="G98" s="2"/>
      <c r="H98" s="2" t="s">
        <v>3905</v>
      </c>
      <c r="I98" s="2">
        <v>650</v>
      </c>
      <c r="J98" s="2"/>
      <c r="K98" s="2"/>
      <c r="L98" s="2"/>
      <c r="M98" s="2"/>
      <c r="N98" s="2" t="s">
        <v>3890</v>
      </c>
      <c r="O98" s="2"/>
      <c r="P98" s="2"/>
      <c r="Q98" s="2"/>
      <c r="R98" t="s">
        <v>38</v>
      </c>
      <c r="S98" t="s">
        <v>3890</v>
      </c>
    </row>
    <row r="99" spans="1:19" x14ac:dyDescent="0.3">
      <c r="A99" t="s">
        <v>38</v>
      </c>
      <c r="B99" s="219" t="s">
        <v>3907</v>
      </c>
      <c r="C99" s="2" t="s">
        <v>3437</v>
      </c>
      <c r="D99" s="2"/>
      <c r="E99" s="2"/>
      <c r="F99" s="2"/>
      <c r="G99" s="2"/>
      <c r="H99" s="7" t="s">
        <v>3905</v>
      </c>
      <c r="I99" s="10">
        <v>375</v>
      </c>
      <c r="J99" s="2"/>
      <c r="K99" s="2"/>
      <c r="L99" s="2"/>
      <c r="M99" s="2"/>
      <c r="N99" s="2"/>
      <c r="O99" s="2"/>
      <c r="P99" s="2"/>
      <c r="Q99" s="2"/>
      <c r="R99" t="s">
        <v>38</v>
      </c>
      <c r="S99" t="s">
        <v>3890</v>
      </c>
    </row>
    <row r="100" spans="1:19" x14ac:dyDescent="0.3">
      <c r="A100" t="s">
        <v>38</v>
      </c>
      <c r="B100" s="219" t="s">
        <v>3907</v>
      </c>
      <c r="C100" s="2" t="s">
        <v>3437</v>
      </c>
      <c r="D100" s="2"/>
      <c r="E100" s="2"/>
      <c r="F100" s="2"/>
      <c r="G100" s="2"/>
      <c r="H100" s="7" t="s">
        <v>3905</v>
      </c>
      <c r="I100" s="10">
        <v>375</v>
      </c>
      <c r="J100" s="2"/>
      <c r="K100" s="2"/>
      <c r="L100" s="2"/>
      <c r="M100" s="2"/>
      <c r="N100" s="2"/>
      <c r="O100" s="2"/>
      <c r="P100" s="2"/>
      <c r="Q100" s="2"/>
      <c r="R100" t="s">
        <v>38</v>
      </c>
      <c r="S100" t="s">
        <v>3890</v>
      </c>
    </row>
    <row r="101" spans="1:19" ht="15.6" x14ac:dyDescent="0.3">
      <c r="A101" t="s">
        <v>1575</v>
      </c>
      <c r="B101" s="27" t="s">
        <v>3908</v>
      </c>
      <c r="C101" s="31" t="s">
        <v>3909</v>
      </c>
      <c r="D101" s="2" t="s">
        <v>3766</v>
      </c>
      <c r="E101" s="15" t="s">
        <v>3910</v>
      </c>
      <c r="F101" s="112">
        <v>44783</v>
      </c>
      <c r="G101" s="2" t="s">
        <v>3911</v>
      </c>
      <c r="H101" s="25" t="s">
        <v>3912</v>
      </c>
      <c r="I101" s="20">
        <v>48</v>
      </c>
      <c r="J101" s="95">
        <v>44572</v>
      </c>
      <c r="K101" s="2">
        <v>3</v>
      </c>
      <c r="L101" s="2">
        <v>20</v>
      </c>
      <c r="M101" s="95">
        <v>44572</v>
      </c>
      <c r="N101" s="95">
        <v>44906</v>
      </c>
      <c r="O101" s="2" t="s">
        <v>3913</v>
      </c>
      <c r="P101" s="2" t="s">
        <v>121</v>
      </c>
      <c r="Q101" s="2" t="s">
        <v>3914</v>
      </c>
      <c r="R101" s="18" t="s">
        <v>123</v>
      </c>
      <c r="S101" s="18" t="s">
        <v>3915</v>
      </c>
    </row>
    <row r="102" spans="1:19" x14ac:dyDescent="0.3">
      <c r="A102" t="s">
        <v>3916</v>
      </c>
      <c r="B102" s="25" t="s">
        <v>3917</v>
      </c>
      <c r="C102" s="2" t="s">
        <v>3918</v>
      </c>
      <c r="D102" s="2" t="s">
        <v>3919</v>
      </c>
      <c r="E102" s="2"/>
      <c r="F102" s="2"/>
      <c r="G102" s="2" t="s">
        <v>3630</v>
      </c>
      <c r="H102" s="2" t="s">
        <v>70</v>
      </c>
      <c r="I102" s="64">
        <v>250</v>
      </c>
      <c r="J102" s="2"/>
      <c r="K102" s="2"/>
      <c r="L102" s="2"/>
      <c r="M102" s="2"/>
      <c r="N102" s="2"/>
      <c r="O102" s="2"/>
      <c r="P102" s="2" t="s">
        <v>171</v>
      </c>
      <c r="Q102" s="2"/>
      <c r="R102" s="74" t="s">
        <v>3916</v>
      </c>
      <c r="S102" t="s">
        <v>3915</v>
      </c>
    </row>
    <row r="103" spans="1:19" x14ac:dyDescent="0.3">
      <c r="B103" s="219" t="s">
        <v>3907</v>
      </c>
      <c r="C103" s="29" t="s">
        <v>3437</v>
      </c>
      <c r="D103" s="2"/>
      <c r="E103" s="2"/>
      <c r="F103" s="2"/>
      <c r="G103" s="2"/>
      <c r="H103" s="7" t="s">
        <v>3697</v>
      </c>
      <c r="I103" s="10">
        <v>248</v>
      </c>
      <c r="J103" s="2"/>
      <c r="K103" s="2"/>
      <c r="L103" s="2"/>
      <c r="M103" s="2"/>
      <c r="N103" s="2"/>
      <c r="O103" s="2"/>
      <c r="P103" s="2" t="s">
        <v>212</v>
      </c>
      <c r="Q103" s="2"/>
    </row>
    <row r="104" spans="1:19" x14ac:dyDescent="0.3">
      <c r="B104" s="219" t="s">
        <v>3907</v>
      </c>
      <c r="C104" s="29" t="s">
        <v>3437</v>
      </c>
      <c r="D104" s="2"/>
      <c r="E104" s="2"/>
      <c r="F104" s="2"/>
      <c r="G104" s="2"/>
      <c r="H104" s="7" t="s">
        <v>3697</v>
      </c>
      <c r="I104" s="10">
        <v>248</v>
      </c>
      <c r="J104" s="2"/>
      <c r="K104" s="2"/>
      <c r="L104" s="2"/>
      <c r="M104" s="2"/>
      <c r="N104" s="2"/>
      <c r="O104" s="2"/>
      <c r="P104" s="2" t="s">
        <v>212</v>
      </c>
      <c r="Q104" s="2"/>
    </row>
    <row r="105" spans="1:19" x14ac:dyDescent="0.3">
      <c r="A105" t="s">
        <v>60</v>
      </c>
      <c r="B105" s="36" t="s">
        <v>3920</v>
      </c>
      <c r="C105" s="6" t="s">
        <v>3921</v>
      </c>
      <c r="D105" s="2" t="s">
        <v>3757</v>
      </c>
      <c r="E105" s="2" t="s">
        <v>3922</v>
      </c>
      <c r="F105" s="112">
        <v>44875</v>
      </c>
      <c r="G105" s="2" t="s">
        <v>3923</v>
      </c>
      <c r="H105" s="20" t="s">
        <v>3924</v>
      </c>
      <c r="I105" s="8">
        <v>249.69</v>
      </c>
      <c r="J105" s="2" t="s">
        <v>3891</v>
      </c>
      <c r="K105" s="2">
        <v>10</v>
      </c>
      <c r="L105" s="2">
        <v>20</v>
      </c>
      <c r="M105" s="95">
        <v>44603</v>
      </c>
      <c r="N105" s="4" t="s">
        <v>3890</v>
      </c>
      <c r="O105" s="96">
        <v>44663</v>
      </c>
      <c r="P105" s="2" t="s">
        <v>28</v>
      </c>
      <c r="Q105" s="2" t="s">
        <v>3890</v>
      </c>
      <c r="R105" t="s">
        <v>191</v>
      </c>
      <c r="S105" t="s">
        <v>3925</v>
      </c>
    </row>
    <row r="106" spans="1:19" x14ac:dyDescent="0.3">
      <c r="A106" t="s">
        <v>60</v>
      </c>
      <c r="B106" s="36" t="s">
        <v>3920</v>
      </c>
      <c r="C106" s="6" t="s">
        <v>3926</v>
      </c>
      <c r="D106" s="19" t="s">
        <v>3746</v>
      </c>
      <c r="E106" s="3" t="s">
        <v>3927</v>
      </c>
      <c r="F106" s="112">
        <v>44814</v>
      </c>
      <c r="G106" s="2" t="s">
        <v>3923</v>
      </c>
      <c r="H106" s="20" t="s">
        <v>3657</v>
      </c>
      <c r="I106" s="8">
        <v>124.9</v>
      </c>
      <c r="J106" s="95">
        <v>44572</v>
      </c>
      <c r="K106" s="2">
        <v>5</v>
      </c>
      <c r="L106" s="2">
        <v>20</v>
      </c>
      <c r="M106" s="95">
        <v>44603</v>
      </c>
      <c r="N106" s="4" t="s">
        <v>3890</v>
      </c>
      <c r="O106" s="96">
        <v>44663</v>
      </c>
      <c r="P106" s="2" t="s">
        <v>28</v>
      </c>
      <c r="Q106" s="19" t="s">
        <v>3903</v>
      </c>
      <c r="R106" t="s">
        <v>38</v>
      </c>
      <c r="S106" t="s">
        <v>3925</v>
      </c>
    </row>
    <row r="107" spans="1:19" x14ac:dyDescent="0.3">
      <c r="A107" t="s">
        <v>3916</v>
      </c>
      <c r="B107" s="25" t="s">
        <v>3928</v>
      </c>
      <c r="C107" s="2" t="s">
        <v>3929</v>
      </c>
      <c r="D107" s="112">
        <v>44845</v>
      </c>
      <c r="E107" s="2"/>
      <c r="F107" s="2"/>
      <c r="G107" s="2" t="s">
        <v>3630</v>
      </c>
      <c r="H107" s="25" t="s">
        <v>1549</v>
      </c>
      <c r="I107" s="64">
        <v>250</v>
      </c>
      <c r="J107" s="64"/>
      <c r="K107" s="2"/>
      <c r="L107" s="2"/>
      <c r="M107" s="2"/>
      <c r="N107" s="2"/>
      <c r="O107" s="19"/>
      <c r="P107" s="2" t="s">
        <v>171</v>
      </c>
      <c r="Q107" s="2"/>
      <c r="R107" t="s">
        <v>3916</v>
      </c>
      <c r="S107" t="s">
        <v>3925</v>
      </c>
    </row>
    <row r="108" spans="1:19" x14ac:dyDescent="0.3">
      <c r="A108" t="s">
        <v>60</v>
      </c>
      <c r="B108" s="36" t="s">
        <v>3930</v>
      </c>
      <c r="C108" s="6" t="s">
        <v>3931</v>
      </c>
      <c r="D108" s="2" t="s">
        <v>3803</v>
      </c>
      <c r="E108" s="2" t="s">
        <v>3932</v>
      </c>
      <c r="F108" s="112">
        <v>44875</v>
      </c>
      <c r="G108" s="2" t="s">
        <v>3933</v>
      </c>
      <c r="H108" s="20" t="s">
        <v>513</v>
      </c>
      <c r="I108" s="8">
        <v>150</v>
      </c>
      <c r="J108" s="2" t="s">
        <v>3859</v>
      </c>
      <c r="K108" s="2">
        <v>6</v>
      </c>
      <c r="L108" s="2">
        <v>20</v>
      </c>
      <c r="M108" s="95">
        <v>44603</v>
      </c>
      <c r="N108" s="95" t="s">
        <v>3934</v>
      </c>
      <c r="O108" s="96">
        <v>44632</v>
      </c>
      <c r="P108" s="2" t="s">
        <v>28</v>
      </c>
      <c r="Q108" s="44" t="s">
        <v>3903</v>
      </c>
      <c r="R108" t="s">
        <v>191</v>
      </c>
      <c r="S108" s="137" t="s">
        <v>3925</v>
      </c>
    </row>
    <row r="109" spans="1:19" ht="27.6" x14ac:dyDescent="0.3">
      <c r="A109" t="s">
        <v>287</v>
      </c>
      <c r="B109" s="254" t="s">
        <v>3935</v>
      </c>
      <c r="C109" s="251" t="s">
        <v>3936</v>
      </c>
      <c r="D109" s="252"/>
      <c r="E109" s="219" t="s">
        <v>3937</v>
      </c>
      <c r="F109" s="2"/>
      <c r="G109" s="2" t="s">
        <v>1296</v>
      </c>
      <c r="H109" s="2" t="s">
        <v>1883</v>
      </c>
      <c r="I109" s="250">
        <v>50</v>
      </c>
      <c r="J109" s="2"/>
      <c r="K109" s="2">
        <v>2</v>
      </c>
      <c r="L109" s="2"/>
      <c r="M109" s="2"/>
      <c r="N109" s="95">
        <v>44603</v>
      </c>
      <c r="O109" s="2"/>
      <c r="P109" s="2" t="s">
        <v>28</v>
      </c>
      <c r="Q109" s="112" t="s">
        <v>3938</v>
      </c>
      <c r="R109" t="s">
        <v>287</v>
      </c>
      <c r="S109" t="s">
        <v>3939</v>
      </c>
    </row>
    <row r="110" spans="1:19" x14ac:dyDescent="0.3">
      <c r="A110" t="s">
        <v>60</v>
      </c>
      <c r="B110" s="36" t="s">
        <v>1460</v>
      </c>
      <c r="C110" s="6" t="s">
        <v>3940</v>
      </c>
      <c r="D110" s="2" t="s">
        <v>3589</v>
      </c>
      <c r="E110" s="2" t="s">
        <v>3941</v>
      </c>
      <c r="F110" s="112">
        <v>44661</v>
      </c>
      <c r="G110" s="2" t="s">
        <v>3923</v>
      </c>
      <c r="H110" s="20" t="s">
        <v>3942</v>
      </c>
      <c r="I110" s="8">
        <v>136.68</v>
      </c>
      <c r="J110" s="2" t="s">
        <v>3943</v>
      </c>
      <c r="K110" s="2">
        <v>5</v>
      </c>
      <c r="L110" s="2">
        <v>20</v>
      </c>
      <c r="M110" s="95">
        <v>44876</v>
      </c>
      <c r="N110" s="19" t="s">
        <v>3944</v>
      </c>
      <c r="O110" s="96" t="s">
        <v>3945</v>
      </c>
      <c r="P110" s="2" t="s">
        <v>28</v>
      </c>
      <c r="Q110" s="44" t="s">
        <v>3913</v>
      </c>
      <c r="R110" t="s">
        <v>191</v>
      </c>
      <c r="S110" t="s">
        <v>3946</v>
      </c>
    </row>
    <row r="111" spans="1:19" x14ac:dyDescent="0.3">
      <c r="A111" t="s">
        <v>73</v>
      </c>
      <c r="B111" s="2" t="s">
        <v>3947</v>
      </c>
      <c r="C111" s="19" t="s">
        <v>3948</v>
      </c>
      <c r="D111" s="112">
        <v>44784</v>
      </c>
      <c r="E111" s="2"/>
      <c r="F111" s="2"/>
      <c r="G111" s="2" t="s">
        <v>3949</v>
      </c>
      <c r="H111" s="2" t="s">
        <v>70</v>
      </c>
      <c r="I111" s="272">
        <v>100</v>
      </c>
      <c r="J111" s="2"/>
      <c r="K111" s="2"/>
      <c r="L111" s="2"/>
      <c r="M111" s="2"/>
      <c r="N111" s="2"/>
      <c r="O111" s="2"/>
      <c r="P111" s="2" t="s">
        <v>212</v>
      </c>
      <c r="Q111" s="2"/>
    </row>
    <row r="112" spans="1:19" x14ac:dyDescent="0.3">
      <c r="A112" t="s">
        <v>1438</v>
      </c>
      <c r="B112" s="2" t="s">
        <v>3950</v>
      </c>
      <c r="C112" s="2" t="s">
        <v>3951</v>
      </c>
      <c r="D112" s="2" t="s">
        <v>3890</v>
      </c>
      <c r="E112" s="2"/>
      <c r="F112" s="2"/>
      <c r="G112" s="2" t="s">
        <v>3630</v>
      </c>
      <c r="H112" s="2" t="s">
        <v>70</v>
      </c>
      <c r="I112" s="2">
        <v>250</v>
      </c>
      <c r="J112" s="2"/>
      <c r="K112" s="2"/>
      <c r="L112" s="2"/>
      <c r="M112" s="2"/>
      <c r="N112" s="2"/>
      <c r="O112" s="2"/>
      <c r="P112" s="2" t="s">
        <v>212</v>
      </c>
      <c r="Q112" s="2"/>
    </row>
    <row r="113" spans="1:19" x14ac:dyDescent="0.3">
      <c r="A113" t="s">
        <v>1438</v>
      </c>
      <c r="B113" s="2" t="s">
        <v>3950</v>
      </c>
      <c r="C113" s="2" t="s">
        <v>3952</v>
      </c>
      <c r="D113" s="2" t="s">
        <v>3934</v>
      </c>
      <c r="E113" s="2"/>
      <c r="F113" s="2"/>
      <c r="G113" s="2" t="s">
        <v>3630</v>
      </c>
      <c r="H113" s="2" t="s">
        <v>70</v>
      </c>
      <c r="I113" s="2">
        <v>250</v>
      </c>
      <c r="J113" s="2"/>
      <c r="K113" s="2"/>
      <c r="L113" s="2"/>
      <c r="M113" s="2"/>
      <c r="N113" s="2"/>
      <c r="O113" s="2"/>
      <c r="P113" s="2" t="s">
        <v>212</v>
      </c>
      <c r="Q113" s="2"/>
    </row>
    <row r="114" spans="1:19" x14ac:dyDescent="0.3">
      <c r="A114" t="s">
        <v>60</v>
      </c>
      <c r="B114" s="27" t="s">
        <v>1405</v>
      </c>
      <c r="C114" s="4" t="s">
        <v>3953</v>
      </c>
      <c r="D114" s="5" t="s">
        <v>3954</v>
      </c>
      <c r="E114" s="260" t="s">
        <v>3955</v>
      </c>
      <c r="F114" s="2" t="s">
        <v>3956</v>
      </c>
      <c r="G114" s="2" t="s">
        <v>1296</v>
      </c>
      <c r="H114" s="25" t="s">
        <v>1408</v>
      </c>
      <c r="I114" s="10">
        <v>16</v>
      </c>
      <c r="J114" s="2"/>
      <c r="K114" s="2"/>
      <c r="L114" s="2"/>
      <c r="M114" s="19"/>
      <c r="N114" s="95" t="s">
        <v>3946</v>
      </c>
      <c r="O114" s="2">
        <v>3</v>
      </c>
      <c r="P114" s="2" t="s">
        <v>28</v>
      </c>
      <c r="Q114" s="2"/>
      <c r="R114" t="s">
        <v>38</v>
      </c>
      <c r="S114" s="137">
        <v>44604</v>
      </c>
    </row>
    <row r="115" spans="1:19" ht="15.6" x14ac:dyDescent="0.3">
      <c r="A115" t="s">
        <v>1575</v>
      </c>
      <c r="B115" s="27" t="s">
        <v>50</v>
      </c>
      <c r="C115" s="31" t="s">
        <v>3957</v>
      </c>
      <c r="D115" s="2" t="s">
        <v>3903</v>
      </c>
      <c r="E115" s="262">
        <v>23235010</v>
      </c>
      <c r="F115" s="2" t="s">
        <v>3913</v>
      </c>
      <c r="G115" s="2" t="s">
        <v>1296</v>
      </c>
      <c r="H115" s="25" t="s">
        <v>3958</v>
      </c>
      <c r="I115" s="20">
        <v>9</v>
      </c>
      <c r="J115" s="2"/>
      <c r="K115" s="2"/>
      <c r="L115" s="2"/>
      <c r="M115" s="2"/>
      <c r="N115" s="2" t="s">
        <v>3945</v>
      </c>
      <c r="O115" s="2">
        <v>2</v>
      </c>
      <c r="P115" s="2" t="s">
        <v>28</v>
      </c>
      <c r="Q115" s="2" t="s">
        <v>3945</v>
      </c>
      <c r="R115" s="137">
        <v>44573</v>
      </c>
    </row>
    <row r="116" spans="1:19" ht="15.6" x14ac:dyDescent="0.3">
      <c r="A116" t="s">
        <v>1575</v>
      </c>
      <c r="B116" s="27" t="s">
        <v>50</v>
      </c>
      <c r="C116" s="31" t="s">
        <v>3957</v>
      </c>
      <c r="D116" s="2" t="s">
        <v>3903</v>
      </c>
      <c r="E116" s="262">
        <v>23235010</v>
      </c>
      <c r="F116" s="2" t="s">
        <v>3913</v>
      </c>
      <c r="G116" s="2" t="s">
        <v>1296</v>
      </c>
      <c r="H116" s="25" t="s">
        <v>3959</v>
      </c>
      <c r="I116" s="20">
        <v>20</v>
      </c>
      <c r="J116" s="2"/>
      <c r="K116" s="2"/>
      <c r="L116" s="2"/>
      <c r="M116" s="2"/>
      <c r="N116" s="2" t="s">
        <v>3945</v>
      </c>
      <c r="O116" s="2">
        <v>2</v>
      </c>
      <c r="P116" s="2" t="s">
        <v>28</v>
      </c>
      <c r="Q116" s="2" t="s">
        <v>3945</v>
      </c>
      <c r="R116" s="137">
        <v>44573</v>
      </c>
    </row>
    <row r="117" spans="1:19" ht="15.6" x14ac:dyDescent="0.3">
      <c r="A117" t="s">
        <v>1575</v>
      </c>
      <c r="B117" s="27" t="s">
        <v>50</v>
      </c>
      <c r="C117" s="31" t="s">
        <v>3957</v>
      </c>
      <c r="D117" s="2" t="s">
        <v>3903</v>
      </c>
      <c r="E117" s="262">
        <v>23235010</v>
      </c>
      <c r="F117" s="2" t="s">
        <v>3913</v>
      </c>
      <c r="G117" s="2" t="s">
        <v>1296</v>
      </c>
      <c r="H117" s="25" t="s">
        <v>3960</v>
      </c>
      <c r="I117" s="20">
        <v>0.5</v>
      </c>
      <c r="J117" s="2"/>
      <c r="K117" s="2"/>
      <c r="L117" s="2"/>
      <c r="M117" s="2"/>
      <c r="N117" s="2" t="s">
        <v>3945</v>
      </c>
      <c r="O117" s="2">
        <v>2</v>
      </c>
      <c r="P117" s="2" t="s">
        <v>28</v>
      </c>
      <c r="Q117" s="2" t="s">
        <v>3945</v>
      </c>
      <c r="R117" s="137">
        <v>44573</v>
      </c>
    </row>
    <row r="118" spans="1:19" ht="15.6" x14ac:dyDescent="0.3">
      <c r="A118" t="s">
        <v>1575</v>
      </c>
      <c r="B118" s="27" t="s">
        <v>50</v>
      </c>
      <c r="C118" s="31" t="s">
        <v>3957</v>
      </c>
      <c r="D118" s="2" t="s">
        <v>3903</v>
      </c>
      <c r="E118" s="262">
        <v>23235010</v>
      </c>
      <c r="F118" s="2" t="s">
        <v>3913</v>
      </c>
      <c r="G118" s="2" t="s">
        <v>1296</v>
      </c>
      <c r="H118" s="25" t="s">
        <v>3961</v>
      </c>
      <c r="I118" s="20">
        <v>0.3</v>
      </c>
      <c r="J118" s="2"/>
      <c r="K118" s="2"/>
      <c r="L118" s="2"/>
      <c r="M118" s="2"/>
      <c r="N118" s="2" t="s">
        <v>3945</v>
      </c>
      <c r="O118" s="2">
        <v>2</v>
      </c>
      <c r="P118" s="2" t="s">
        <v>28</v>
      </c>
      <c r="Q118" s="2" t="s">
        <v>3945</v>
      </c>
      <c r="R118" s="137">
        <v>44573</v>
      </c>
    </row>
    <row r="119" spans="1:19" ht="15.6" x14ac:dyDescent="0.3">
      <c r="A119" t="s">
        <v>1575</v>
      </c>
      <c r="B119" s="27" t="s">
        <v>50</v>
      </c>
      <c r="C119" s="31" t="s">
        <v>3957</v>
      </c>
      <c r="D119" s="2" t="s">
        <v>3903</v>
      </c>
      <c r="E119" s="262">
        <v>23235010</v>
      </c>
      <c r="F119" s="2" t="s">
        <v>3913</v>
      </c>
      <c r="G119" s="2" t="s">
        <v>1296</v>
      </c>
      <c r="H119" s="25" t="s">
        <v>3962</v>
      </c>
      <c r="I119" s="20">
        <v>0.2</v>
      </c>
      <c r="J119" s="2"/>
      <c r="K119" s="2"/>
      <c r="L119" s="2"/>
      <c r="M119" s="2"/>
      <c r="N119" s="2" t="s">
        <v>3945</v>
      </c>
      <c r="O119" s="2">
        <v>2</v>
      </c>
      <c r="P119" s="2" t="s">
        <v>28</v>
      </c>
      <c r="Q119" s="2" t="s">
        <v>3945</v>
      </c>
      <c r="R119" s="137">
        <v>44573</v>
      </c>
    </row>
    <row r="120" spans="1:19" x14ac:dyDescent="0.3">
      <c r="A120" t="s">
        <v>38</v>
      </c>
      <c r="B120" s="27" t="s">
        <v>3754</v>
      </c>
      <c r="C120" s="6" t="s">
        <v>3963</v>
      </c>
      <c r="D120" s="95">
        <v>44660</v>
      </c>
      <c r="E120" s="19">
        <v>220714546</v>
      </c>
      <c r="F120" s="95">
        <v>44813</v>
      </c>
      <c r="G120" s="2" t="s">
        <v>1421</v>
      </c>
      <c r="H120" s="2" t="s">
        <v>1422</v>
      </c>
      <c r="I120" s="20">
        <v>95.42</v>
      </c>
      <c r="J120" s="2" t="s">
        <v>3852</v>
      </c>
      <c r="K120" s="5">
        <v>4</v>
      </c>
      <c r="L120" s="5">
        <v>20</v>
      </c>
      <c r="M120" s="19" t="s">
        <v>3834</v>
      </c>
      <c r="N120" s="95">
        <v>44572</v>
      </c>
      <c r="O120" s="156">
        <v>44663</v>
      </c>
      <c r="P120" s="2" t="s">
        <v>28</v>
      </c>
      <c r="Q120" s="2"/>
      <c r="R120" t="s">
        <v>38</v>
      </c>
      <c r="S120" s="137">
        <v>44632</v>
      </c>
    </row>
    <row r="121" spans="1:19" x14ac:dyDescent="0.3">
      <c r="A121" t="s">
        <v>38</v>
      </c>
      <c r="B121" s="27" t="s">
        <v>3754</v>
      </c>
      <c r="C121" s="6" t="s">
        <v>3963</v>
      </c>
      <c r="D121" s="95">
        <v>44660</v>
      </c>
      <c r="E121" s="19">
        <v>221529557</v>
      </c>
      <c r="F121" s="19" t="s">
        <v>3766</v>
      </c>
      <c r="G121" s="2" t="s">
        <v>1421</v>
      </c>
      <c r="H121" s="2" t="s">
        <v>1422</v>
      </c>
      <c r="I121" s="20">
        <v>23.9</v>
      </c>
      <c r="J121" s="2" t="s">
        <v>3964</v>
      </c>
      <c r="K121" s="5">
        <v>1</v>
      </c>
      <c r="L121" s="5">
        <v>20</v>
      </c>
      <c r="M121" s="19" t="s">
        <v>3965</v>
      </c>
      <c r="N121" s="95">
        <v>44845</v>
      </c>
      <c r="O121" s="156">
        <v>44663</v>
      </c>
      <c r="P121" s="2" t="s">
        <v>28</v>
      </c>
      <c r="Q121" s="2"/>
      <c r="R121" t="s">
        <v>38</v>
      </c>
      <c r="S121" s="137">
        <v>44632</v>
      </c>
    </row>
    <row r="122" spans="1:19" x14ac:dyDescent="0.3">
      <c r="A122" t="s">
        <v>38</v>
      </c>
      <c r="B122" s="27" t="s">
        <v>3754</v>
      </c>
      <c r="C122" s="6" t="s">
        <v>3963</v>
      </c>
      <c r="D122" s="95">
        <v>44660</v>
      </c>
      <c r="E122" s="19">
        <v>221704132</v>
      </c>
      <c r="F122" s="19" t="s">
        <v>3757</v>
      </c>
      <c r="G122" s="2" t="s">
        <v>3966</v>
      </c>
      <c r="H122" s="2" t="s">
        <v>1422</v>
      </c>
      <c r="I122" s="20">
        <v>108.9</v>
      </c>
      <c r="J122" s="95">
        <v>44784</v>
      </c>
      <c r="K122" s="5">
        <v>5</v>
      </c>
      <c r="L122" s="5">
        <v>20</v>
      </c>
      <c r="M122" s="95">
        <v>44784</v>
      </c>
      <c r="N122" s="19" t="s">
        <v>3967</v>
      </c>
      <c r="O122" s="44" t="s">
        <v>3968</v>
      </c>
      <c r="P122" s="2" t="s">
        <v>28</v>
      </c>
      <c r="Q122" s="2"/>
      <c r="R122" t="s">
        <v>38</v>
      </c>
      <c r="S122" s="137">
        <v>44693</v>
      </c>
    </row>
    <row r="123" spans="1:19" x14ac:dyDescent="0.3">
      <c r="A123" t="s">
        <v>3916</v>
      </c>
      <c r="B123" s="25" t="s">
        <v>3928</v>
      </c>
      <c r="C123" s="2" t="s">
        <v>3969</v>
      </c>
      <c r="D123" s="112">
        <v>44845</v>
      </c>
      <c r="E123" s="2"/>
      <c r="F123" s="2"/>
      <c r="G123" s="2" t="s">
        <v>3630</v>
      </c>
      <c r="H123" s="25" t="s">
        <v>1549</v>
      </c>
      <c r="I123" s="64">
        <v>250</v>
      </c>
      <c r="J123" s="2"/>
      <c r="K123" s="2"/>
      <c r="L123" s="2"/>
      <c r="M123" s="2"/>
      <c r="N123" s="2"/>
      <c r="O123" s="2"/>
      <c r="P123" s="2" t="s">
        <v>171</v>
      </c>
      <c r="Q123" s="2"/>
    </row>
    <row r="124" spans="1:19" x14ac:dyDescent="0.3">
      <c r="A124" t="s">
        <v>3748</v>
      </c>
      <c r="B124" s="25" t="s">
        <v>3917</v>
      </c>
      <c r="C124" s="2" t="s">
        <v>3970</v>
      </c>
      <c r="D124" s="2" t="s">
        <v>3946</v>
      </c>
      <c r="E124" s="2"/>
      <c r="F124" s="2"/>
      <c r="G124" s="2"/>
      <c r="H124" s="2" t="s">
        <v>70</v>
      </c>
      <c r="I124" s="2">
        <v>250</v>
      </c>
      <c r="J124" s="2"/>
      <c r="K124" s="2"/>
      <c r="L124" s="2"/>
      <c r="M124" s="2"/>
      <c r="N124" s="2"/>
      <c r="O124" s="2"/>
      <c r="P124" s="2" t="s">
        <v>212</v>
      </c>
      <c r="Q124" s="2"/>
    </row>
    <row r="125" spans="1:19" x14ac:dyDescent="0.3">
      <c r="A125" t="s">
        <v>287</v>
      </c>
      <c r="B125" s="254" t="s">
        <v>3971</v>
      </c>
      <c r="C125" s="278" t="s">
        <v>3972</v>
      </c>
      <c r="D125" s="219" t="s">
        <v>3973</v>
      </c>
      <c r="E125" s="2"/>
      <c r="F125" s="2"/>
      <c r="G125" s="2" t="s">
        <v>1296</v>
      </c>
      <c r="H125" s="2" t="s">
        <v>78</v>
      </c>
      <c r="I125" s="250">
        <v>50</v>
      </c>
      <c r="J125" s="2"/>
      <c r="K125" s="2">
        <v>2</v>
      </c>
      <c r="L125" s="2"/>
      <c r="M125" s="2"/>
      <c r="N125" s="95">
        <v>44724</v>
      </c>
      <c r="O125" s="2"/>
      <c r="P125" s="2" t="s">
        <v>28</v>
      </c>
      <c r="Q125" s="95">
        <v>44604</v>
      </c>
      <c r="R125" t="s">
        <v>287</v>
      </c>
      <c r="S125" s="137">
        <v>44754</v>
      </c>
    </row>
    <row r="126" spans="1:19" ht="27.6" x14ac:dyDescent="0.3">
      <c r="A126" t="s">
        <v>287</v>
      </c>
      <c r="B126" s="254" t="s">
        <v>1842</v>
      </c>
      <c r="C126" s="269" t="s">
        <v>3974</v>
      </c>
      <c r="D126" s="219" t="s">
        <v>3975</v>
      </c>
      <c r="E126" s="219" t="s">
        <v>3976</v>
      </c>
      <c r="F126" s="95">
        <v>44692</v>
      </c>
      <c r="G126" s="2" t="s">
        <v>3833</v>
      </c>
      <c r="H126" s="2" t="s">
        <v>24</v>
      </c>
      <c r="I126" s="250">
        <v>104.72</v>
      </c>
      <c r="J126" s="2" t="s">
        <v>3914</v>
      </c>
      <c r="K126" s="2">
        <v>6</v>
      </c>
      <c r="L126" s="2">
        <v>20</v>
      </c>
      <c r="M126" s="2" t="s">
        <v>3967</v>
      </c>
      <c r="N126" s="95">
        <v>44632</v>
      </c>
      <c r="O126" s="2" t="s">
        <v>3977</v>
      </c>
      <c r="P126" s="2" t="s">
        <v>28</v>
      </c>
      <c r="Q126" s="112">
        <v>44693</v>
      </c>
      <c r="R126" s="18" t="s">
        <v>287</v>
      </c>
      <c r="S126" s="137">
        <v>44785</v>
      </c>
    </row>
    <row r="127" spans="1:19" x14ac:dyDescent="0.3">
      <c r="A127" t="s">
        <v>38</v>
      </c>
      <c r="B127" s="27" t="s">
        <v>1778</v>
      </c>
      <c r="C127" s="2" t="s">
        <v>3978</v>
      </c>
      <c r="D127" s="95">
        <v>44631</v>
      </c>
      <c r="E127" s="19">
        <v>221178275</v>
      </c>
      <c r="F127" s="95">
        <v>44722</v>
      </c>
      <c r="G127" s="2" t="s">
        <v>3979</v>
      </c>
      <c r="H127" s="2" t="s">
        <v>1422</v>
      </c>
      <c r="I127" s="20">
        <v>480</v>
      </c>
      <c r="J127" s="2" t="s">
        <v>3903</v>
      </c>
      <c r="K127" s="5">
        <v>20</v>
      </c>
      <c r="L127" s="5">
        <v>20</v>
      </c>
      <c r="M127" s="95">
        <v>44815</v>
      </c>
      <c r="N127" s="2" t="s">
        <v>3967</v>
      </c>
      <c r="O127" s="112" t="s">
        <v>3980</v>
      </c>
      <c r="P127" s="2" t="s">
        <v>3981</v>
      </c>
      <c r="Q127" s="95">
        <v>44604</v>
      </c>
      <c r="R127" t="s">
        <v>38</v>
      </c>
      <c r="S127" t="s">
        <v>3982</v>
      </c>
    </row>
    <row r="128" spans="1:19" x14ac:dyDescent="0.3">
      <c r="A128" t="s">
        <v>38</v>
      </c>
      <c r="B128" s="27" t="s">
        <v>1129</v>
      </c>
      <c r="C128" s="2" t="s">
        <v>3983</v>
      </c>
      <c r="D128" s="2" t="s">
        <v>3789</v>
      </c>
      <c r="E128" s="2" t="s">
        <v>3984</v>
      </c>
      <c r="F128" s="2" t="s">
        <v>3925</v>
      </c>
      <c r="G128" s="2" t="s">
        <v>1296</v>
      </c>
      <c r="H128" s="2" t="s">
        <v>3985</v>
      </c>
      <c r="I128" s="20">
        <v>1</v>
      </c>
      <c r="J128" s="2"/>
      <c r="K128" s="2"/>
      <c r="L128" s="2"/>
      <c r="M128" s="2"/>
      <c r="N128" s="95">
        <v>44785</v>
      </c>
      <c r="O128" s="2"/>
      <c r="P128" s="2" t="s">
        <v>121</v>
      </c>
      <c r="Q128" s="95">
        <v>44573</v>
      </c>
      <c r="R128" t="s">
        <v>38</v>
      </c>
      <c r="S128" s="137">
        <v>44877</v>
      </c>
    </row>
    <row r="129" spans="1:19" x14ac:dyDescent="0.3">
      <c r="A129" t="s">
        <v>38</v>
      </c>
      <c r="B129" s="27" t="s">
        <v>1129</v>
      </c>
      <c r="C129" s="2" t="s">
        <v>3437</v>
      </c>
      <c r="D129" s="2"/>
      <c r="E129" s="2" t="s">
        <v>3986</v>
      </c>
      <c r="F129" s="2" t="s">
        <v>3925</v>
      </c>
      <c r="G129" s="2" t="s">
        <v>1331</v>
      </c>
      <c r="H129" s="2" t="s">
        <v>3987</v>
      </c>
      <c r="I129" s="44" t="s">
        <v>3988</v>
      </c>
      <c r="J129" s="2"/>
      <c r="K129" s="2"/>
      <c r="L129" s="2"/>
      <c r="M129" s="2"/>
      <c r="N129" s="95">
        <v>44785</v>
      </c>
      <c r="O129" s="2"/>
      <c r="P129" s="2" t="s">
        <v>121</v>
      </c>
      <c r="Q129" s="95">
        <v>44693</v>
      </c>
      <c r="R129" t="s">
        <v>38</v>
      </c>
      <c r="S129" s="137">
        <v>44877</v>
      </c>
    </row>
    <row r="130" spans="1:19" x14ac:dyDescent="0.3">
      <c r="A130" t="s">
        <v>38</v>
      </c>
      <c r="B130" s="27" t="s">
        <v>3754</v>
      </c>
      <c r="C130" s="6" t="s">
        <v>3963</v>
      </c>
      <c r="D130" s="95">
        <v>44660</v>
      </c>
      <c r="E130" s="19">
        <v>221968546</v>
      </c>
      <c r="F130" s="95">
        <v>44875</v>
      </c>
      <c r="G130" s="2" t="s">
        <v>3966</v>
      </c>
      <c r="H130" s="2" t="s">
        <v>1422</v>
      </c>
      <c r="I130" s="20">
        <v>43.62</v>
      </c>
      <c r="J130" s="2" t="s">
        <v>3934</v>
      </c>
      <c r="K130" s="5">
        <v>2</v>
      </c>
      <c r="L130" s="5">
        <v>20</v>
      </c>
      <c r="M130" s="19" t="s">
        <v>3915</v>
      </c>
      <c r="N130" s="95">
        <v>44632</v>
      </c>
      <c r="O130" s="19" t="s">
        <v>3977</v>
      </c>
      <c r="P130" s="2" t="s">
        <v>28</v>
      </c>
      <c r="Q130" s="2"/>
      <c r="R130" t="s">
        <v>38</v>
      </c>
      <c r="S130" s="137">
        <v>44877</v>
      </c>
    </row>
    <row r="131" spans="1:19" x14ac:dyDescent="0.3">
      <c r="A131" t="s">
        <v>49</v>
      </c>
      <c r="B131" s="27" t="s">
        <v>1100</v>
      </c>
      <c r="C131" s="2" t="s">
        <v>3989</v>
      </c>
      <c r="D131" s="2" t="s">
        <v>3818</v>
      </c>
      <c r="E131" s="2" t="s">
        <v>3990</v>
      </c>
      <c r="F131" s="95">
        <v>44692</v>
      </c>
      <c r="G131" s="2" t="s">
        <v>3991</v>
      </c>
      <c r="H131" s="2" t="s">
        <v>3992</v>
      </c>
      <c r="I131" s="250">
        <v>25.5</v>
      </c>
      <c r="J131" s="2" t="s">
        <v>3934</v>
      </c>
      <c r="K131" s="2">
        <v>1</v>
      </c>
      <c r="L131" s="2">
        <v>40</v>
      </c>
      <c r="M131" s="2" t="s">
        <v>3967</v>
      </c>
      <c r="N131" s="95">
        <v>44816</v>
      </c>
      <c r="O131" s="2" t="s">
        <v>3993</v>
      </c>
      <c r="P131" s="2" t="s">
        <v>28</v>
      </c>
      <c r="Q131" s="2" t="s">
        <v>3945</v>
      </c>
      <c r="R131" s="18" t="s">
        <v>3994</v>
      </c>
      <c r="S131" s="137">
        <v>44907</v>
      </c>
    </row>
    <row r="132" spans="1:19" ht="41.4" x14ac:dyDescent="0.3">
      <c r="A132" t="s">
        <v>49</v>
      </c>
      <c r="B132" s="254" t="s">
        <v>3525</v>
      </c>
      <c r="C132" s="252" t="s">
        <v>3995</v>
      </c>
      <c r="D132" s="251" t="s">
        <v>3996</v>
      </c>
      <c r="E132" s="2"/>
      <c r="F132" s="2"/>
      <c r="G132" s="2" t="s">
        <v>1296</v>
      </c>
      <c r="H132" s="249" t="s">
        <v>3997</v>
      </c>
      <c r="I132" s="2"/>
      <c r="J132" s="2"/>
      <c r="K132" s="2">
        <v>1</v>
      </c>
      <c r="L132" s="2"/>
      <c r="M132" s="2"/>
      <c r="N132" s="95">
        <v>44693</v>
      </c>
      <c r="O132" s="112">
        <v>44754</v>
      </c>
      <c r="P132" s="2" t="s">
        <v>28</v>
      </c>
      <c r="Q132" s="2" t="s">
        <v>3998</v>
      </c>
      <c r="R132" s="74" t="s">
        <v>1683</v>
      </c>
      <c r="S132" s="74" t="s">
        <v>3968</v>
      </c>
    </row>
    <row r="133" spans="1:19" x14ac:dyDescent="0.3">
      <c r="A133" t="s">
        <v>38</v>
      </c>
      <c r="B133" s="27" t="s">
        <v>3999</v>
      </c>
      <c r="C133" s="2" t="s">
        <v>4000</v>
      </c>
      <c r="D133" s="2" t="s">
        <v>3913</v>
      </c>
      <c r="E133" s="2" t="s">
        <v>4001</v>
      </c>
      <c r="F133" s="112">
        <v>44604</v>
      </c>
      <c r="G133" s="2" t="s">
        <v>2588</v>
      </c>
      <c r="H133" s="7" t="s">
        <v>4002</v>
      </c>
      <c r="I133" s="23">
        <v>8</v>
      </c>
      <c r="J133" s="2"/>
      <c r="K133" s="2"/>
      <c r="L133" s="2"/>
      <c r="M133" s="2"/>
      <c r="N133" s="95">
        <v>44907</v>
      </c>
      <c r="O133" s="2" t="s">
        <v>4003</v>
      </c>
      <c r="P133" s="2" t="s">
        <v>28</v>
      </c>
      <c r="Q133" s="95">
        <v>44907</v>
      </c>
      <c r="R133" s="74" t="s">
        <v>38</v>
      </c>
      <c r="S133" s="74" t="s">
        <v>4004</v>
      </c>
    </row>
    <row r="134" spans="1:19" x14ac:dyDescent="0.3">
      <c r="A134" t="s">
        <v>38</v>
      </c>
      <c r="B134" s="27" t="s">
        <v>4005</v>
      </c>
      <c r="C134" s="15" t="s">
        <v>4006</v>
      </c>
      <c r="D134" s="95">
        <v>44905</v>
      </c>
      <c r="E134" s="2" t="s">
        <v>4007</v>
      </c>
      <c r="F134" s="2" t="s">
        <v>3919</v>
      </c>
      <c r="G134" s="2" t="s">
        <v>4008</v>
      </c>
      <c r="H134" s="2" t="s">
        <v>4009</v>
      </c>
      <c r="I134" s="20">
        <v>20</v>
      </c>
      <c r="J134" s="2" t="s">
        <v>4010</v>
      </c>
      <c r="K134" s="5">
        <v>1</v>
      </c>
      <c r="L134" s="5">
        <v>20</v>
      </c>
      <c r="M134" s="95">
        <v>44663</v>
      </c>
      <c r="N134" s="95">
        <v>44877</v>
      </c>
      <c r="O134" s="2" t="s">
        <v>4011</v>
      </c>
      <c r="P134" s="2" t="s">
        <v>28</v>
      </c>
      <c r="Q134" s="2" t="s">
        <v>4012</v>
      </c>
      <c r="R134" s="74" t="s">
        <v>38</v>
      </c>
      <c r="S134" s="74" t="s">
        <v>4013</v>
      </c>
    </row>
    <row r="135" spans="1:19" ht="15.6" x14ac:dyDescent="0.3">
      <c r="A135" t="s">
        <v>38</v>
      </c>
      <c r="B135" s="27" t="s">
        <v>4005</v>
      </c>
      <c r="C135" s="15" t="s">
        <v>4006</v>
      </c>
      <c r="D135" s="95">
        <v>44905</v>
      </c>
      <c r="E135" s="2" t="s">
        <v>4007</v>
      </c>
      <c r="F135" s="2" t="s">
        <v>3919</v>
      </c>
      <c r="G135" s="2" t="s">
        <v>4008</v>
      </c>
      <c r="H135" s="271" t="s">
        <v>4014</v>
      </c>
      <c r="I135" s="20">
        <v>3</v>
      </c>
      <c r="J135" s="2" t="s">
        <v>4010</v>
      </c>
      <c r="K135" s="5">
        <v>1</v>
      </c>
      <c r="L135" s="5">
        <v>20</v>
      </c>
      <c r="M135" s="95">
        <v>44663</v>
      </c>
      <c r="N135" s="95">
        <v>44877</v>
      </c>
      <c r="O135" s="2" t="s">
        <v>4011</v>
      </c>
      <c r="P135" s="2" t="s">
        <v>28</v>
      </c>
      <c r="Q135" s="2" t="s">
        <v>4012</v>
      </c>
      <c r="R135" s="74" t="s">
        <v>38</v>
      </c>
      <c r="S135" s="74" t="s">
        <v>4013</v>
      </c>
    </row>
    <row r="136" spans="1:19" x14ac:dyDescent="0.3">
      <c r="A136" t="s">
        <v>38</v>
      </c>
      <c r="B136" s="280" t="s">
        <v>1314</v>
      </c>
      <c r="C136" s="276" t="s">
        <v>4015</v>
      </c>
      <c r="D136" s="166">
        <v>44631</v>
      </c>
      <c r="E136" s="274" t="s">
        <v>4016</v>
      </c>
      <c r="F136" s="125" t="s">
        <v>3913</v>
      </c>
      <c r="G136" s="125" t="s">
        <v>1318</v>
      </c>
      <c r="H136" s="146" t="s">
        <v>152</v>
      </c>
      <c r="I136" s="277">
        <v>20</v>
      </c>
      <c r="J136" s="166">
        <v>44663</v>
      </c>
      <c r="K136" s="163">
        <v>1</v>
      </c>
      <c r="L136" s="163">
        <v>20</v>
      </c>
      <c r="M136" s="279">
        <v>44604</v>
      </c>
      <c r="N136" s="125" t="s">
        <v>3968</v>
      </c>
      <c r="O136" s="2" t="s">
        <v>4017</v>
      </c>
      <c r="P136" s="125" t="s">
        <v>28</v>
      </c>
      <c r="Q136" s="2" t="s">
        <v>4012</v>
      </c>
      <c r="R136" s="74" t="s">
        <v>38</v>
      </c>
      <c r="S136" s="74" t="s">
        <v>4013</v>
      </c>
    </row>
    <row r="137" spans="1:19" x14ac:dyDescent="0.3">
      <c r="A137" t="s">
        <v>38</v>
      </c>
      <c r="B137" s="27" t="s">
        <v>891</v>
      </c>
      <c r="C137" s="2"/>
      <c r="D137" s="2"/>
      <c r="E137" s="2" t="s">
        <v>4018</v>
      </c>
      <c r="F137" s="2" t="s">
        <v>3967</v>
      </c>
      <c r="G137" s="2" t="s">
        <v>1331</v>
      </c>
      <c r="H137" s="2" t="s">
        <v>893</v>
      </c>
      <c r="I137" s="20">
        <v>4</v>
      </c>
      <c r="J137" s="2"/>
      <c r="K137" s="2"/>
      <c r="L137" s="2"/>
      <c r="M137" s="2"/>
      <c r="N137" s="95">
        <v>44907</v>
      </c>
      <c r="O137" s="2"/>
      <c r="P137" s="2" t="s">
        <v>28</v>
      </c>
      <c r="Q137" s="95">
        <v>44785</v>
      </c>
      <c r="R137" s="74" t="s">
        <v>38</v>
      </c>
      <c r="S137" s="74" t="s">
        <v>4013</v>
      </c>
    </row>
    <row r="138" spans="1:19" x14ac:dyDescent="0.3">
      <c r="A138" t="s">
        <v>38</v>
      </c>
      <c r="B138" s="27" t="s">
        <v>891</v>
      </c>
      <c r="C138" s="2"/>
      <c r="D138" s="2"/>
      <c r="E138" s="2" t="s">
        <v>4019</v>
      </c>
      <c r="F138" s="2" t="s">
        <v>3967</v>
      </c>
      <c r="G138" s="2" t="s">
        <v>1331</v>
      </c>
      <c r="H138" s="2" t="s">
        <v>1496</v>
      </c>
      <c r="I138" s="20">
        <v>5</v>
      </c>
      <c r="J138" s="2"/>
      <c r="K138" s="2"/>
      <c r="L138" s="2"/>
      <c r="M138" s="2"/>
      <c r="N138" s="95">
        <v>44907</v>
      </c>
      <c r="O138" s="2"/>
      <c r="P138" s="2" t="s">
        <v>28</v>
      </c>
      <c r="Q138" s="95">
        <v>44785</v>
      </c>
      <c r="R138" s="74" t="s">
        <v>38</v>
      </c>
      <c r="S138" t="s">
        <v>4013</v>
      </c>
    </row>
    <row r="139" spans="1:19" ht="43.2" x14ac:dyDescent="0.3">
      <c r="A139" t="s">
        <v>60</v>
      </c>
      <c r="B139" s="261" t="s">
        <v>1314</v>
      </c>
      <c r="C139" s="298" t="s">
        <v>4020</v>
      </c>
      <c r="D139" s="286">
        <v>44631</v>
      </c>
      <c r="E139" s="301" t="s">
        <v>4021</v>
      </c>
      <c r="F139" s="252" t="s">
        <v>3914</v>
      </c>
      <c r="G139" s="252" t="s">
        <v>1318</v>
      </c>
      <c r="H139" s="290" t="s">
        <v>152</v>
      </c>
      <c r="I139" s="292">
        <v>20</v>
      </c>
      <c r="J139" s="252" t="s">
        <v>4010</v>
      </c>
      <c r="K139" s="252">
        <v>1</v>
      </c>
      <c r="L139" s="252">
        <v>20</v>
      </c>
      <c r="M139" s="293">
        <v>44573</v>
      </c>
      <c r="N139" s="287" t="s">
        <v>3968</v>
      </c>
      <c r="O139" s="252" t="s">
        <v>4017</v>
      </c>
      <c r="P139" s="252" t="s">
        <v>28</v>
      </c>
      <c r="Q139" s="252" t="s">
        <v>4012</v>
      </c>
      <c r="R139" s="74" t="s">
        <v>191</v>
      </c>
      <c r="S139" s="303" t="s">
        <v>3977</v>
      </c>
    </row>
    <row r="140" spans="1:19" x14ac:dyDescent="0.3">
      <c r="A140" t="s">
        <v>60</v>
      </c>
      <c r="B140" s="261" t="s">
        <v>4022</v>
      </c>
      <c r="C140" s="252" t="s">
        <v>4023</v>
      </c>
      <c r="D140" s="252" t="s">
        <v>3945</v>
      </c>
      <c r="E140" s="251" t="s">
        <v>4024</v>
      </c>
      <c r="F140" s="286">
        <v>44816</v>
      </c>
      <c r="G140" s="252" t="s">
        <v>1296</v>
      </c>
      <c r="H140" s="252" t="s">
        <v>4025</v>
      </c>
      <c r="I140" s="252">
        <v>85</v>
      </c>
      <c r="J140" s="252"/>
      <c r="K140" s="252"/>
      <c r="L140" s="252"/>
      <c r="M140" s="252" t="s">
        <v>3968</v>
      </c>
      <c r="N140" s="252" t="s">
        <v>4012</v>
      </c>
      <c r="O140" s="252">
        <v>3</v>
      </c>
      <c r="P140" s="252" t="s">
        <v>28</v>
      </c>
      <c r="Q140" s="252" t="s">
        <v>4013</v>
      </c>
      <c r="R140" s="74" t="s">
        <v>191</v>
      </c>
      <c r="S140" s="303" t="s">
        <v>3977</v>
      </c>
    </row>
    <row r="141" spans="1:19" x14ac:dyDescent="0.3">
      <c r="A141" t="s">
        <v>38</v>
      </c>
      <c r="B141" s="25" t="s">
        <v>1302</v>
      </c>
      <c r="C141" s="2" t="s">
        <v>3437</v>
      </c>
      <c r="D141" s="2"/>
      <c r="E141" s="19" t="s">
        <v>4026</v>
      </c>
      <c r="F141" s="112">
        <v>44816</v>
      </c>
      <c r="G141" s="2" t="s">
        <v>1599</v>
      </c>
      <c r="H141" s="25" t="s">
        <v>4027</v>
      </c>
      <c r="I141" s="20">
        <v>33</v>
      </c>
      <c r="J141" s="2"/>
      <c r="K141" s="5">
        <v>1</v>
      </c>
      <c r="L141" s="2"/>
      <c r="M141" s="2"/>
      <c r="N141" s="2" t="s">
        <v>4012</v>
      </c>
      <c r="O141" s="2"/>
      <c r="P141" s="2" t="s">
        <v>121</v>
      </c>
      <c r="Q141" s="2"/>
      <c r="R141" s="74" t="s">
        <v>38</v>
      </c>
      <c r="S141" s="74" t="s">
        <v>4013</v>
      </c>
    </row>
    <row r="142" spans="1:19" ht="43.2" x14ac:dyDescent="0.3">
      <c r="A142" t="s">
        <v>344</v>
      </c>
      <c r="B142" s="261" t="s">
        <v>4028</v>
      </c>
      <c r="C142" s="35" t="s">
        <v>4029</v>
      </c>
      <c r="D142" s="287">
        <v>44874</v>
      </c>
      <c r="E142" s="289" t="s">
        <v>4030</v>
      </c>
      <c r="F142" s="252" t="s">
        <v>4031</v>
      </c>
      <c r="G142" s="252" t="s">
        <v>4032</v>
      </c>
      <c r="H142" s="290" t="s">
        <v>118</v>
      </c>
      <c r="I142" s="291">
        <v>393.12</v>
      </c>
      <c r="J142" s="252" t="s">
        <v>3934</v>
      </c>
      <c r="K142" s="252">
        <v>20</v>
      </c>
      <c r="L142" s="252">
        <v>20</v>
      </c>
      <c r="M142" s="251" t="s">
        <v>3915</v>
      </c>
      <c r="N142" s="287" t="s">
        <v>3968</v>
      </c>
      <c r="O142" s="288" t="s">
        <v>4017</v>
      </c>
      <c r="P142" s="252" t="s">
        <v>28</v>
      </c>
      <c r="Q142" s="294" t="s">
        <v>4033</v>
      </c>
      <c r="R142" s="74" t="s">
        <v>350</v>
      </c>
      <c r="S142" t="s">
        <v>4034</v>
      </c>
    </row>
    <row r="143" spans="1:19" ht="72" x14ac:dyDescent="0.3">
      <c r="A143" t="s">
        <v>344</v>
      </c>
      <c r="B143" s="302" t="s">
        <v>3487</v>
      </c>
      <c r="C143" s="35" t="s">
        <v>4035</v>
      </c>
      <c r="D143" s="297" t="s">
        <v>4036</v>
      </c>
      <c r="E143" s="35">
        <v>222390900</v>
      </c>
      <c r="F143" s="286">
        <v>44631</v>
      </c>
      <c r="G143" s="252" t="s">
        <v>4037</v>
      </c>
      <c r="H143" s="253" t="s">
        <v>4038</v>
      </c>
      <c r="I143" s="292">
        <v>14</v>
      </c>
      <c r="J143" s="287">
        <v>44724</v>
      </c>
      <c r="K143" s="252">
        <v>1</v>
      </c>
      <c r="L143" s="252">
        <v>20</v>
      </c>
      <c r="M143" s="293">
        <v>44724</v>
      </c>
      <c r="N143" s="252" t="s">
        <v>4033</v>
      </c>
      <c r="O143" s="306">
        <v>44927</v>
      </c>
      <c r="P143" s="252" t="s">
        <v>28</v>
      </c>
      <c r="Q143" s="252" t="s">
        <v>4033</v>
      </c>
      <c r="R143" s="307" t="s">
        <v>55</v>
      </c>
      <c r="S143" s="303" t="s">
        <v>4034</v>
      </c>
    </row>
    <row r="144" spans="1:19" ht="72" x14ac:dyDescent="0.3">
      <c r="A144" t="s">
        <v>60</v>
      </c>
      <c r="B144" s="302" t="s">
        <v>3487</v>
      </c>
      <c r="C144" s="35" t="s">
        <v>4035</v>
      </c>
      <c r="D144" s="297" t="s">
        <v>4036</v>
      </c>
      <c r="E144" s="35">
        <v>222390900</v>
      </c>
      <c r="F144" s="286">
        <v>44631</v>
      </c>
      <c r="G144" s="252" t="s">
        <v>4037</v>
      </c>
      <c r="H144" s="253" t="s">
        <v>4039</v>
      </c>
      <c r="I144" s="292">
        <v>4</v>
      </c>
      <c r="J144" s="287">
        <v>44724</v>
      </c>
      <c r="K144" s="252">
        <v>1</v>
      </c>
      <c r="L144" s="252">
        <v>20</v>
      </c>
      <c r="M144" s="293">
        <v>44724</v>
      </c>
      <c r="N144" s="252" t="s">
        <v>4033</v>
      </c>
      <c r="O144" s="306">
        <v>44927</v>
      </c>
      <c r="P144" s="252" t="s">
        <v>28</v>
      </c>
      <c r="Q144" s="252" t="s">
        <v>4033</v>
      </c>
      <c r="R144" s="74" t="s">
        <v>55</v>
      </c>
      <c r="S144" s="303" t="s">
        <v>4034</v>
      </c>
    </row>
    <row r="145" spans="1:20" ht="72" x14ac:dyDescent="0.3">
      <c r="A145" t="s">
        <v>60</v>
      </c>
      <c r="B145" s="302" t="s">
        <v>3487</v>
      </c>
      <c r="C145" s="35" t="s">
        <v>4035</v>
      </c>
      <c r="D145" s="297" t="s">
        <v>4036</v>
      </c>
      <c r="E145" s="35">
        <v>222390900</v>
      </c>
      <c r="F145" s="286">
        <v>44631</v>
      </c>
      <c r="G145" s="252" t="s">
        <v>4037</v>
      </c>
      <c r="H145" s="253" t="s">
        <v>4040</v>
      </c>
      <c r="I145" s="292">
        <v>2</v>
      </c>
      <c r="J145" s="287">
        <v>44724</v>
      </c>
      <c r="K145" s="252">
        <v>1</v>
      </c>
      <c r="L145" s="252">
        <v>20</v>
      </c>
      <c r="M145" s="293">
        <v>44724</v>
      </c>
      <c r="N145" s="252" t="s">
        <v>4033</v>
      </c>
      <c r="O145" s="306">
        <v>44927</v>
      </c>
      <c r="P145" s="252" t="s">
        <v>28</v>
      </c>
      <c r="Q145" s="252" t="s">
        <v>4033</v>
      </c>
      <c r="R145" s="74" t="s">
        <v>55</v>
      </c>
      <c r="S145" s="303" t="s">
        <v>4034</v>
      </c>
    </row>
    <row r="146" spans="1:20" ht="57.6" x14ac:dyDescent="0.3">
      <c r="A146" t="s">
        <v>60</v>
      </c>
      <c r="B146" s="261" t="s">
        <v>1460</v>
      </c>
      <c r="C146" s="35" t="s">
        <v>4041</v>
      </c>
      <c r="D146" s="252" t="s">
        <v>3699</v>
      </c>
      <c r="E146" s="252" t="s">
        <v>4042</v>
      </c>
      <c r="F146" s="252" t="s">
        <v>4043</v>
      </c>
      <c r="G146" s="252" t="s">
        <v>3923</v>
      </c>
      <c r="H146" s="252" t="s">
        <v>243</v>
      </c>
      <c r="I146" s="252">
        <v>250.02</v>
      </c>
      <c r="J146" s="287">
        <v>44663</v>
      </c>
      <c r="K146" s="252">
        <v>10</v>
      </c>
      <c r="L146" s="252">
        <v>20</v>
      </c>
      <c r="M146" s="293">
        <v>44693</v>
      </c>
      <c r="N146" s="251" t="s">
        <v>4004</v>
      </c>
      <c r="O146" s="288" t="s">
        <v>4011</v>
      </c>
      <c r="P146" s="252" t="s">
        <v>28</v>
      </c>
      <c r="Q146" s="252" t="s">
        <v>4034</v>
      </c>
      <c r="R146" s="74" t="s">
        <v>191</v>
      </c>
      <c r="S146" s="282" t="s">
        <v>4044</v>
      </c>
    </row>
    <row r="147" spans="1:20" ht="43.2" x14ac:dyDescent="0.3">
      <c r="A147" t="s">
        <v>60</v>
      </c>
      <c r="B147" s="261" t="s">
        <v>581</v>
      </c>
      <c r="C147" s="298" t="s">
        <v>4045</v>
      </c>
      <c r="D147" s="297" t="s">
        <v>3891</v>
      </c>
      <c r="E147" s="252" t="s">
        <v>4046</v>
      </c>
      <c r="F147" s="286">
        <v>44876</v>
      </c>
      <c r="G147" s="252" t="s">
        <v>1435</v>
      </c>
      <c r="H147" s="290" t="s">
        <v>205</v>
      </c>
      <c r="I147" s="299">
        <v>100</v>
      </c>
      <c r="J147" s="252" t="s">
        <v>3946</v>
      </c>
      <c r="K147" s="252">
        <v>4</v>
      </c>
      <c r="L147" s="252">
        <v>20</v>
      </c>
      <c r="M147" s="251" t="s">
        <v>4033</v>
      </c>
      <c r="N147" s="287" t="s">
        <v>4034</v>
      </c>
      <c r="O147" s="288" t="s">
        <v>4047</v>
      </c>
      <c r="P147" s="252" t="s">
        <v>28</v>
      </c>
      <c r="Q147" s="252" t="s">
        <v>4034</v>
      </c>
      <c r="R147" s="74" t="s">
        <v>191</v>
      </c>
      <c r="S147" s="282" t="s">
        <v>4044</v>
      </c>
    </row>
    <row r="148" spans="1:20" ht="41.4" x14ac:dyDescent="0.3">
      <c r="A148" s="2" t="s">
        <v>38</v>
      </c>
      <c r="B148" s="304" t="s">
        <v>124</v>
      </c>
      <c r="C148" s="219" t="s">
        <v>4048</v>
      </c>
      <c r="D148" s="219" t="s">
        <v>4049</v>
      </c>
      <c r="E148" s="2"/>
      <c r="F148" s="2"/>
      <c r="G148" s="2" t="s">
        <v>1767</v>
      </c>
      <c r="H148" s="2" t="s">
        <v>127</v>
      </c>
      <c r="I148" s="241">
        <v>30</v>
      </c>
      <c r="J148" s="2"/>
      <c r="K148" s="2"/>
      <c r="L148" s="2"/>
      <c r="M148" s="2"/>
      <c r="N148" s="2" t="s">
        <v>4044</v>
      </c>
      <c r="O148" s="2">
        <v>3</v>
      </c>
      <c r="P148" s="2" t="s">
        <v>28</v>
      </c>
      <c r="Q148" s="2"/>
      <c r="R148" s="74" t="s">
        <v>123</v>
      </c>
      <c r="S148" s="282" t="s">
        <v>4017</v>
      </c>
    </row>
    <row r="149" spans="1:20" ht="43.2" x14ac:dyDescent="0.3">
      <c r="A149" s="81" t="s">
        <v>60</v>
      </c>
      <c r="B149" s="261" t="s">
        <v>4050</v>
      </c>
      <c r="C149" s="252" t="s">
        <v>4051</v>
      </c>
      <c r="D149" s="286">
        <v>44693</v>
      </c>
      <c r="E149" s="252" t="s">
        <v>4052</v>
      </c>
      <c r="F149" s="252" t="s">
        <v>4053</v>
      </c>
      <c r="G149" s="252" t="s">
        <v>3806</v>
      </c>
      <c r="H149" s="290" t="s">
        <v>1633</v>
      </c>
      <c r="I149" s="299">
        <v>125</v>
      </c>
      <c r="J149" s="287">
        <v>44724</v>
      </c>
      <c r="K149" s="300">
        <v>5</v>
      </c>
      <c r="L149" s="252">
        <v>20</v>
      </c>
      <c r="M149" s="293">
        <v>44816</v>
      </c>
      <c r="N149" s="251" t="s">
        <v>4033</v>
      </c>
      <c r="O149" s="309">
        <v>44927</v>
      </c>
      <c r="P149" s="252" t="s">
        <v>28</v>
      </c>
      <c r="Q149" s="252" t="s">
        <v>4054</v>
      </c>
      <c r="R149" s="74" t="s">
        <v>191</v>
      </c>
      <c r="S149" s="282" t="s">
        <v>4055</v>
      </c>
    </row>
    <row r="150" spans="1:20" x14ac:dyDescent="0.3">
      <c r="A150" s="81" t="s">
        <v>38</v>
      </c>
      <c r="B150" s="280" t="s">
        <v>1314</v>
      </c>
      <c r="C150" s="125" t="s">
        <v>4056</v>
      </c>
      <c r="D150" s="125" t="s">
        <v>3913</v>
      </c>
      <c r="E150" s="125" t="s">
        <v>4057</v>
      </c>
      <c r="F150" s="148">
        <v>44907</v>
      </c>
      <c r="G150" s="125" t="s">
        <v>1318</v>
      </c>
      <c r="H150" s="146" t="s">
        <v>152</v>
      </c>
      <c r="I150" s="277">
        <v>20</v>
      </c>
      <c r="J150" s="125"/>
      <c r="K150" s="163">
        <v>1</v>
      </c>
      <c r="L150" s="163">
        <v>20</v>
      </c>
      <c r="M150" s="125" t="s">
        <v>3977</v>
      </c>
      <c r="N150" s="125" t="s">
        <v>4058</v>
      </c>
      <c r="O150" s="148">
        <v>45017</v>
      </c>
      <c r="P150" s="125" t="s">
        <v>28</v>
      </c>
      <c r="Q150" s="125" t="s">
        <v>4054</v>
      </c>
      <c r="R150" s="74" t="s">
        <v>38</v>
      </c>
      <c r="S150" s="282" t="s">
        <v>4059</v>
      </c>
    </row>
    <row r="151" spans="1:20" x14ac:dyDescent="0.3">
      <c r="A151" s="81" t="s">
        <v>38</v>
      </c>
      <c r="B151" s="27" t="s">
        <v>1986</v>
      </c>
      <c r="C151" s="2" t="s">
        <v>4060</v>
      </c>
      <c r="D151" s="112">
        <v>44907</v>
      </c>
      <c r="E151" s="2" t="s">
        <v>4061</v>
      </c>
      <c r="F151" s="2" t="s">
        <v>4044</v>
      </c>
      <c r="G151" s="2" t="s">
        <v>4062</v>
      </c>
      <c r="H151" s="25" t="s">
        <v>4063</v>
      </c>
      <c r="I151" s="44" t="s">
        <v>4064</v>
      </c>
      <c r="J151" s="2"/>
      <c r="K151" s="2"/>
      <c r="L151" s="2"/>
      <c r="M151" s="2"/>
      <c r="N151" s="2" t="s">
        <v>4059</v>
      </c>
      <c r="O151" s="2"/>
      <c r="P151" s="2" t="s">
        <v>28</v>
      </c>
      <c r="Q151" s="2" t="s">
        <v>4065</v>
      </c>
      <c r="R151" s="74" t="s">
        <v>38</v>
      </c>
      <c r="S151" s="282" t="s">
        <v>4065</v>
      </c>
    </row>
    <row r="152" spans="1:20" x14ac:dyDescent="0.3">
      <c r="A152" s="81" t="s">
        <v>1753</v>
      </c>
      <c r="B152" s="2" t="s">
        <v>1439</v>
      </c>
      <c r="C152" s="2" t="s">
        <v>4066</v>
      </c>
      <c r="D152" s="112">
        <v>44663</v>
      </c>
      <c r="E152" s="2"/>
      <c r="F152" s="2"/>
      <c r="G152" s="2" t="s">
        <v>4067</v>
      </c>
      <c r="H152" s="2" t="s">
        <v>4068</v>
      </c>
      <c r="I152" s="2">
        <f>179.06+81.72</f>
        <v>260.77999999999997</v>
      </c>
      <c r="J152" s="2"/>
      <c r="K152" s="2"/>
      <c r="L152" s="2"/>
      <c r="M152" s="2"/>
      <c r="N152" s="2"/>
      <c r="O152" s="2" t="s">
        <v>4069</v>
      </c>
      <c r="P152" s="2" t="s">
        <v>121</v>
      </c>
      <c r="Q152" s="2"/>
      <c r="R152" s="74" t="s">
        <v>38</v>
      </c>
    </row>
    <row r="153" spans="1:20" x14ac:dyDescent="0.3">
      <c r="A153" s="81" t="s">
        <v>38</v>
      </c>
      <c r="B153" s="27" t="s">
        <v>4070</v>
      </c>
      <c r="C153" s="2" t="s">
        <v>4071</v>
      </c>
      <c r="D153" s="95">
        <v>44907</v>
      </c>
      <c r="E153" s="19">
        <v>223131236</v>
      </c>
      <c r="F153" s="2" t="s">
        <v>3944</v>
      </c>
      <c r="G153" s="2" t="s">
        <v>4072</v>
      </c>
      <c r="H153" s="25" t="s">
        <v>4073</v>
      </c>
      <c r="I153" s="20">
        <v>286</v>
      </c>
      <c r="J153" s="112">
        <v>44754</v>
      </c>
      <c r="K153" s="5">
        <v>13</v>
      </c>
      <c r="L153" s="5">
        <v>20</v>
      </c>
      <c r="M153" s="95">
        <v>44754</v>
      </c>
      <c r="N153" s="112" t="s">
        <v>4033</v>
      </c>
      <c r="O153" s="112">
        <v>44927</v>
      </c>
      <c r="P153" s="2" t="s">
        <v>28</v>
      </c>
      <c r="Q153" s="2" t="s">
        <v>4065</v>
      </c>
      <c r="R153" s="74" t="s">
        <v>4074</v>
      </c>
      <c r="S153" s="137">
        <v>44958</v>
      </c>
    </row>
    <row r="154" spans="1:20" x14ac:dyDescent="0.3">
      <c r="A154" s="81" t="s">
        <v>38</v>
      </c>
      <c r="B154" s="25" t="s">
        <v>4075</v>
      </c>
      <c r="C154" s="2" t="s">
        <v>4076</v>
      </c>
      <c r="D154" s="95">
        <v>44573</v>
      </c>
      <c r="E154" s="2" t="s">
        <v>4077</v>
      </c>
      <c r="F154" s="2" t="s">
        <v>4013</v>
      </c>
      <c r="G154" s="2" t="s">
        <v>4067</v>
      </c>
      <c r="H154" s="25" t="s">
        <v>42</v>
      </c>
      <c r="I154" s="2">
        <v>1300.8399999999999</v>
      </c>
      <c r="J154" s="2"/>
      <c r="K154" s="2"/>
      <c r="L154" s="2"/>
      <c r="M154" s="2"/>
      <c r="N154" s="2"/>
      <c r="O154" s="2"/>
      <c r="P154" s="2" t="s">
        <v>212</v>
      </c>
      <c r="Q154" s="2"/>
      <c r="R154" s="74" t="s">
        <v>38</v>
      </c>
      <c r="S154" s="137">
        <v>44958</v>
      </c>
    </row>
    <row r="155" spans="1:20" ht="72" x14ac:dyDescent="0.3">
      <c r="A155" s="81" t="s">
        <v>60</v>
      </c>
      <c r="B155" s="302" t="s">
        <v>3038</v>
      </c>
      <c r="C155" s="35" t="s">
        <v>4078</v>
      </c>
      <c r="D155" s="252" t="s">
        <v>3797</v>
      </c>
      <c r="E155" s="252" t="s">
        <v>4079</v>
      </c>
      <c r="F155" s="252" t="s">
        <v>3964</v>
      </c>
      <c r="G155" s="252" t="s">
        <v>2270</v>
      </c>
      <c r="H155" s="253" t="s">
        <v>3048</v>
      </c>
      <c r="I155" s="292">
        <v>9.5</v>
      </c>
      <c r="J155" s="287">
        <v>44603</v>
      </c>
      <c r="K155" s="252">
        <v>1</v>
      </c>
      <c r="L155" s="252">
        <v>20</v>
      </c>
      <c r="M155" s="293">
        <v>44604</v>
      </c>
      <c r="N155" s="251" t="s">
        <v>4054</v>
      </c>
      <c r="O155" s="286">
        <v>45108</v>
      </c>
      <c r="P155" s="252" t="s">
        <v>28</v>
      </c>
      <c r="Q155" s="294" t="s">
        <v>4065</v>
      </c>
      <c r="R155" s="74" t="s">
        <v>38</v>
      </c>
      <c r="S155" s="137">
        <v>45017</v>
      </c>
    </row>
    <row r="156" spans="1:20" ht="72" x14ac:dyDescent="0.3">
      <c r="A156" s="81" t="s">
        <v>60</v>
      </c>
      <c r="B156" s="302" t="s">
        <v>3038</v>
      </c>
      <c r="C156" s="35" t="s">
        <v>4078</v>
      </c>
      <c r="D156" s="252" t="s">
        <v>3797</v>
      </c>
      <c r="E156" s="252" t="s">
        <v>4079</v>
      </c>
      <c r="F156" s="252" t="s">
        <v>3964</v>
      </c>
      <c r="G156" s="252" t="s">
        <v>2270</v>
      </c>
      <c r="H156" s="253" t="s">
        <v>3042</v>
      </c>
      <c r="I156" s="292">
        <v>1.5</v>
      </c>
      <c r="J156" s="287">
        <v>44603</v>
      </c>
      <c r="K156" s="252"/>
      <c r="L156" s="252"/>
      <c r="M156" s="293">
        <v>44604</v>
      </c>
      <c r="N156" s="251" t="s">
        <v>4054</v>
      </c>
      <c r="O156" s="286">
        <v>45108</v>
      </c>
      <c r="P156" s="252" t="s">
        <v>28</v>
      </c>
      <c r="Q156" s="294" t="s">
        <v>4065</v>
      </c>
      <c r="R156" s="74" t="s">
        <v>38</v>
      </c>
      <c r="S156" s="137">
        <v>45017</v>
      </c>
    </row>
    <row r="157" spans="1:20" ht="43.2" x14ac:dyDescent="0.3">
      <c r="A157" s="81" t="s">
        <v>60</v>
      </c>
      <c r="B157" s="261" t="s">
        <v>4028</v>
      </c>
      <c r="C157" s="35" t="s">
        <v>4080</v>
      </c>
      <c r="D157" s="252" t="s">
        <v>3843</v>
      </c>
      <c r="E157" s="252" t="s">
        <v>4081</v>
      </c>
      <c r="F157" s="287">
        <v>44631</v>
      </c>
      <c r="G157" s="252" t="s">
        <v>4082</v>
      </c>
      <c r="H157" s="252" t="s">
        <v>118</v>
      </c>
      <c r="I157" s="252">
        <v>409.72</v>
      </c>
      <c r="J157" s="252" t="s">
        <v>3915</v>
      </c>
      <c r="K157" s="252">
        <v>20</v>
      </c>
      <c r="L157" s="252">
        <v>20</v>
      </c>
      <c r="M157" s="293">
        <v>44632</v>
      </c>
      <c r="N157" s="251" t="s">
        <v>4054</v>
      </c>
      <c r="O157" s="286">
        <v>45108</v>
      </c>
      <c r="P157" s="252" t="s">
        <v>28</v>
      </c>
      <c r="Q157" s="252" t="s">
        <v>4065</v>
      </c>
      <c r="R157" s="313" t="s">
        <v>4083</v>
      </c>
      <c r="S157" s="314" t="s">
        <v>4084</v>
      </c>
      <c r="T157" s="315" t="s">
        <v>4085</v>
      </c>
    </row>
    <row r="158" spans="1:20" x14ac:dyDescent="0.3">
      <c r="A158" s="81" t="s">
        <v>60</v>
      </c>
      <c r="B158" s="261" t="s">
        <v>4086</v>
      </c>
      <c r="C158" s="252" t="s">
        <v>4087</v>
      </c>
      <c r="D158" s="287">
        <v>44724</v>
      </c>
      <c r="E158" s="252"/>
      <c r="F158" s="252"/>
      <c r="G158" s="252" t="s">
        <v>1296</v>
      </c>
      <c r="H158" s="252" t="s">
        <v>4088</v>
      </c>
      <c r="I158" s="252">
        <v>80</v>
      </c>
      <c r="J158" s="252"/>
      <c r="K158" s="252"/>
      <c r="L158" s="252"/>
      <c r="M158" s="252"/>
      <c r="N158" s="252"/>
      <c r="O158" s="252"/>
      <c r="P158" s="252" t="s">
        <v>28</v>
      </c>
      <c r="Q158" s="286">
        <v>44927</v>
      </c>
      <c r="R158" t="s">
        <v>191</v>
      </c>
      <c r="S158" s="137">
        <v>45017</v>
      </c>
    </row>
    <row r="159" spans="1:20" x14ac:dyDescent="0.3">
      <c r="A159" s="81" t="s">
        <v>38</v>
      </c>
      <c r="B159" s="27" t="s">
        <v>4070</v>
      </c>
      <c r="C159" s="2" t="s">
        <v>4071</v>
      </c>
      <c r="D159" s="95">
        <v>44907</v>
      </c>
      <c r="E159" s="19">
        <v>223237846</v>
      </c>
      <c r="F159" s="2" t="s">
        <v>3944</v>
      </c>
      <c r="G159" s="2" t="s">
        <v>4072</v>
      </c>
      <c r="H159" s="25" t="s">
        <v>4073</v>
      </c>
      <c r="I159" s="20">
        <v>22</v>
      </c>
      <c r="J159" s="112">
        <v>44754</v>
      </c>
      <c r="K159" s="5">
        <v>1</v>
      </c>
      <c r="L159" s="5">
        <v>20</v>
      </c>
      <c r="M159" s="95" t="s">
        <v>4012</v>
      </c>
      <c r="N159" s="95" t="s">
        <v>4011</v>
      </c>
      <c r="O159" s="112">
        <v>45078</v>
      </c>
      <c r="P159" s="2" t="s">
        <v>28</v>
      </c>
      <c r="Q159" s="2" t="s">
        <v>4065</v>
      </c>
      <c r="R159" t="s">
        <v>4074</v>
      </c>
      <c r="S159" s="137">
        <v>44986</v>
      </c>
    </row>
    <row r="160" spans="1:20" x14ac:dyDescent="0.3">
      <c r="A160" s="2" t="s">
        <v>49</v>
      </c>
      <c r="B160" s="123" t="s">
        <v>124</v>
      </c>
      <c r="C160" s="219" t="s">
        <v>4089</v>
      </c>
      <c r="D160" s="219" t="s">
        <v>4090</v>
      </c>
      <c r="E160" s="310" t="s">
        <v>4091</v>
      </c>
      <c r="F160" s="2" t="s">
        <v>4011</v>
      </c>
      <c r="G160" s="2" t="s">
        <v>1491</v>
      </c>
      <c r="H160" s="67" t="s">
        <v>1678</v>
      </c>
      <c r="I160" s="241">
        <v>30</v>
      </c>
      <c r="J160" s="2"/>
      <c r="K160" s="2">
        <v>1</v>
      </c>
      <c r="L160" s="2"/>
      <c r="M160" s="2"/>
      <c r="N160" s="2" t="s">
        <v>4069</v>
      </c>
      <c r="O160" s="2">
        <v>14</v>
      </c>
      <c r="P160" s="2" t="s">
        <v>28</v>
      </c>
      <c r="Q160" s="2"/>
      <c r="R160" t="s">
        <v>3994</v>
      </c>
      <c r="S160" s="137">
        <v>44986</v>
      </c>
    </row>
    <row r="161" spans="1:20" x14ac:dyDescent="0.3">
      <c r="A161" s="81" t="s">
        <v>38</v>
      </c>
      <c r="B161" s="36" t="s">
        <v>4092</v>
      </c>
      <c r="C161" s="15" t="s">
        <v>4093</v>
      </c>
      <c r="D161" s="2" t="s">
        <v>3758</v>
      </c>
      <c r="E161" s="67">
        <v>222264919</v>
      </c>
      <c r="F161" s="2" t="s">
        <v>3890</v>
      </c>
      <c r="G161" s="2" t="s">
        <v>3553</v>
      </c>
      <c r="H161" s="20" t="s">
        <v>102</v>
      </c>
      <c r="I161" s="20">
        <v>18</v>
      </c>
      <c r="J161" s="112">
        <v>44816</v>
      </c>
      <c r="K161" s="5">
        <v>1</v>
      </c>
      <c r="L161" s="5">
        <v>20</v>
      </c>
      <c r="M161" s="19" t="s">
        <v>3993</v>
      </c>
      <c r="N161" s="95" t="s">
        <v>4065</v>
      </c>
      <c r="O161" s="156">
        <v>45261</v>
      </c>
      <c r="P161" s="2" t="s">
        <v>121</v>
      </c>
      <c r="Q161" s="2" t="s">
        <v>3993</v>
      </c>
      <c r="R161" t="s">
        <v>38</v>
      </c>
      <c r="S161" s="137">
        <v>45047</v>
      </c>
    </row>
    <row r="162" spans="1:20" ht="57.6" x14ac:dyDescent="0.3">
      <c r="A162" s="81" t="s">
        <v>344</v>
      </c>
      <c r="B162" s="261" t="s">
        <v>4050</v>
      </c>
      <c r="C162" s="252" t="s">
        <v>4094</v>
      </c>
      <c r="D162" s="286">
        <v>44907</v>
      </c>
      <c r="E162" s="35">
        <v>222861537</v>
      </c>
      <c r="F162" s="252" t="s">
        <v>3944</v>
      </c>
      <c r="G162" s="252" t="s">
        <v>4095</v>
      </c>
      <c r="H162" s="290" t="s">
        <v>106</v>
      </c>
      <c r="I162" s="299">
        <v>240</v>
      </c>
      <c r="J162" s="252" t="s">
        <v>4033</v>
      </c>
      <c r="K162" s="252">
        <v>10</v>
      </c>
      <c r="L162" s="252">
        <v>20</v>
      </c>
      <c r="M162" s="251" t="s">
        <v>3993</v>
      </c>
      <c r="N162" s="287" t="s">
        <v>4065</v>
      </c>
      <c r="O162" s="286">
        <v>45261</v>
      </c>
      <c r="P162" s="252" t="s">
        <v>28</v>
      </c>
      <c r="Q162" s="287">
        <v>45017</v>
      </c>
      <c r="R162" t="s">
        <v>350</v>
      </c>
      <c r="S162" s="315" t="s">
        <v>4096</v>
      </c>
    </row>
    <row r="163" spans="1:20" x14ac:dyDescent="0.3">
      <c r="A163" s="81" t="s">
        <v>123</v>
      </c>
      <c r="B163" s="123" t="s">
        <v>384</v>
      </c>
      <c r="C163" s="219" t="s">
        <v>4097</v>
      </c>
      <c r="D163" s="219" t="s">
        <v>4098</v>
      </c>
      <c r="E163" s="219" t="s">
        <v>4099</v>
      </c>
      <c r="F163" s="2"/>
      <c r="G163" s="2"/>
      <c r="H163" s="67" t="s">
        <v>4100</v>
      </c>
      <c r="I163" s="241">
        <v>29</v>
      </c>
      <c r="J163" s="2"/>
      <c r="K163" s="2"/>
      <c r="L163" s="2"/>
      <c r="M163" s="2"/>
      <c r="N163" s="2"/>
      <c r="O163" s="2"/>
      <c r="P163" s="2" t="s">
        <v>28</v>
      </c>
      <c r="Q163" s="112">
        <v>45139</v>
      </c>
      <c r="R163" t="s">
        <v>123</v>
      </c>
      <c r="S163" s="137">
        <v>45139</v>
      </c>
    </row>
    <row r="164" spans="1:20" ht="43.2" x14ac:dyDescent="0.3">
      <c r="A164" s="81" t="s">
        <v>60</v>
      </c>
      <c r="B164" s="308" t="s">
        <v>4092</v>
      </c>
      <c r="C164" s="35" t="s">
        <v>4101</v>
      </c>
      <c r="D164" s="251" t="s">
        <v>4102</v>
      </c>
      <c r="E164" s="284" t="s">
        <v>4103</v>
      </c>
      <c r="F164" s="252" t="s">
        <v>3890</v>
      </c>
      <c r="G164" s="252" t="s">
        <v>3553</v>
      </c>
      <c r="H164" s="24" t="s">
        <v>102</v>
      </c>
      <c r="I164" s="285">
        <v>18</v>
      </c>
      <c r="J164" s="286">
        <v>44816</v>
      </c>
      <c r="K164" s="252">
        <v>1</v>
      </c>
      <c r="L164" s="252">
        <v>20</v>
      </c>
      <c r="M164" s="251" t="s">
        <v>4054</v>
      </c>
      <c r="N164" s="287" t="s">
        <v>4065</v>
      </c>
      <c r="O164" s="306">
        <v>45261</v>
      </c>
      <c r="P164" s="252" t="s">
        <v>665</v>
      </c>
      <c r="Q164" s="24" t="s">
        <v>4065</v>
      </c>
      <c r="R164" t="s">
        <v>191</v>
      </c>
      <c r="S164" s="137">
        <v>45200</v>
      </c>
    </row>
    <row r="165" spans="1:20" x14ac:dyDescent="0.3">
      <c r="A165" s="81" t="s">
        <v>38</v>
      </c>
      <c r="B165" s="2" t="s">
        <v>4104</v>
      </c>
      <c r="C165" s="2" t="s">
        <v>4105</v>
      </c>
      <c r="D165" s="19" t="s">
        <v>1537</v>
      </c>
      <c r="E165" s="19">
        <v>308601350</v>
      </c>
      <c r="F165" s="2" t="s">
        <v>4034</v>
      </c>
      <c r="G165" s="2" t="s">
        <v>1296</v>
      </c>
      <c r="H165" s="20" t="s">
        <v>4106</v>
      </c>
      <c r="I165" s="20">
        <v>2</v>
      </c>
      <c r="J165" s="2"/>
      <c r="K165" s="5"/>
      <c r="L165" s="5"/>
      <c r="M165" s="2"/>
      <c r="N165" s="2"/>
      <c r="O165" s="112">
        <v>45047</v>
      </c>
      <c r="P165" s="2" t="s">
        <v>121</v>
      </c>
      <c r="Q165" s="112">
        <v>45139</v>
      </c>
      <c r="R165" t="s">
        <v>38</v>
      </c>
      <c r="S165" s="137">
        <v>45200</v>
      </c>
    </row>
    <row r="166" spans="1:20" ht="57.6" x14ac:dyDescent="0.3">
      <c r="A166" s="81" t="s">
        <v>60</v>
      </c>
      <c r="B166" s="308" t="s">
        <v>3930</v>
      </c>
      <c r="C166" s="295" t="s">
        <v>3931</v>
      </c>
      <c r="D166" s="253" t="s">
        <v>3803</v>
      </c>
      <c r="E166" s="253" t="s">
        <v>4107</v>
      </c>
      <c r="F166" s="296" t="s">
        <v>4053</v>
      </c>
      <c r="G166" s="253" t="s">
        <v>3933</v>
      </c>
      <c r="H166" s="24" t="s">
        <v>513</v>
      </c>
      <c r="I166" s="288">
        <v>50</v>
      </c>
      <c r="J166" s="253" t="s">
        <v>3968</v>
      </c>
      <c r="K166" s="253">
        <v>2</v>
      </c>
      <c r="L166" s="253">
        <v>20</v>
      </c>
      <c r="M166" s="293" t="s">
        <v>4017</v>
      </c>
      <c r="N166" s="293" t="s">
        <v>4065</v>
      </c>
      <c r="O166" s="306" t="s">
        <v>4108</v>
      </c>
      <c r="P166" s="253" t="s">
        <v>28</v>
      </c>
      <c r="Q166" s="253"/>
      <c r="R166" t="s">
        <v>191</v>
      </c>
      <c r="S166" t="s">
        <v>4109</v>
      </c>
    </row>
    <row r="167" spans="1:20" x14ac:dyDescent="0.3">
      <c r="B167" s="227" t="s">
        <v>384</v>
      </c>
      <c r="C167" s="219" t="s">
        <v>4097</v>
      </c>
      <c r="D167" s="219" t="s">
        <v>4098</v>
      </c>
      <c r="E167" s="219" t="s">
        <v>4099</v>
      </c>
      <c r="F167" s="95">
        <v>45108</v>
      </c>
      <c r="G167" s="2" t="s">
        <v>1323</v>
      </c>
      <c r="H167" s="67" t="s">
        <v>4100</v>
      </c>
      <c r="I167" s="241">
        <v>29</v>
      </c>
      <c r="J167" s="2"/>
      <c r="K167" s="2">
        <v>1</v>
      </c>
      <c r="L167" s="2"/>
      <c r="M167" s="2"/>
      <c r="N167" s="95">
        <v>45231</v>
      </c>
      <c r="O167" s="2" t="s">
        <v>4110</v>
      </c>
      <c r="P167" s="2" t="s">
        <v>28</v>
      </c>
      <c r="Q167" s="95" t="s">
        <v>4111</v>
      </c>
    </row>
    <row r="168" spans="1:20" ht="15.6" x14ac:dyDescent="0.3">
      <c r="A168" t="s">
        <v>38</v>
      </c>
      <c r="B168" s="316" t="s">
        <v>4028</v>
      </c>
      <c r="C168" s="275" t="s">
        <v>4112</v>
      </c>
      <c r="D168" s="95">
        <v>44631</v>
      </c>
      <c r="E168" s="2" t="s">
        <v>4113</v>
      </c>
      <c r="F168" s="2" t="s">
        <v>3913</v>
      </c>
      <c r="G168" s="2" t="s">
        <v>4082</v>
      </c>
      <c r="H168" s="7" t="s">
        <v>118</v>
      </c>
      <c r="I168" s="55">
        <v>400</v>
      </c>
      <c r="J168" s="44" t="s">
        <v>3993</v>
      </c>
      <c r="K168" s="5">
        <v>20</v>
      </c>
      <c r="L168" s="5">
        <v>20</v>
      </c>
      <c r="M168" s="95">
        <v>44986</v>
      </c>
      <c r="N168" s="95" t="s">
        <v>4114</v>
      </c>
      <c r="O168" s="2" t="s">
        <v>4115</v>
      </c>
      <c r="P168" s="2" t="s">
        <v>665</v>
      </c>
      <c r="Q168" s="2" t="s">
        <v>4065</v>
      </c>
      <c r="R168" s="18" t="s">
        <v>38</v>
      </c>
      <c r="S168" s="18" t="s">
        <v>4116</v>
      </c>
    </row>
    <row r="169" spans="1:20" x14ac:dyDescent="0.3">
      <c r="A169" t="s">
        <v>1575</v>
      </c>
      <c r="B169" s="27" t="s">
        <v>1100</v>
      </c>
      <c r="C169" s="2" t="s">
        <v>4117</v>
      </c>
      <c r="D169" s="112">
        <v>44784</v>
      </c>
      <c r="E169" s="2" t="s">
        <v>4118</v>
      </c>
      <c r="F169" s="95">
        <v>44724</v>
      </c>
      <c r="G169" s="2" t="s">
        <v>4119</v>
      </c>
      <c r="H169" s="112" t="s">
        <v>4120</v>
      </c>
      <c r="I169" s="2">
        <v>49.5</v>
      </c>
      <c r="J169" s="112" t="s">
        <v>4012</v>
      </c>
      <c r="K169" s="2">
        <v>2</v>
      </c>
      <c r="L169" s="2">
        <v>40</v>
      </c>
      <c r="M169" s="2" t="s">
        <v>4055</v>
      </c>
      <c r="N169" s="95">
        <v>45170</v>
      </c>
      <c r="O169" s="2" t="s">
        <v>4121</v>
      </c>
      <c r="P169" s="2" t="s">
        <v>4122</v>
      </c>
      <c r="Q169" s="2" t="s">
        <v>4065</v>
      </c>
      <c r="R169" s="74" t="s">
        <v>4116</v>
      </c>
    </row>
    <row r="170" spans="1:20" x14ac:dyDescent="0.3">
      <c r="A170" t="s">
        <v>38</v>
      </c>
      <c r="B170" s="316" t="s">
        <v>4092</v>
      </c>
      <c r="C170" s="273" t="s">
        <v>4123</v>
      </c>
      <c r="D170" s="95">
        <v>44631</v>
      </c>
      <c r="E170" s="67" t="s">
        <v>4124</v>
      </c>
      <c r="F170" s="2" t="s">
        <v>4053</v>
      </c>
      <c r="G170" s="2" t="s">
        <v>3822</v>
      </c>
      <c r="H170" s="7" t="s">
        <v>1234</v>
      </c>
      <c r="I170" s="10">
        <v>22</v>
      </c>
      <c r="J170" s="112">
        <v>44816</v>
      </c>
      <c r="K170" s="5">
        <v>1</v>
      </c>
      <c r="L170" s="5">
        <v>20</v>
      </c>
      <c r="M170" s="19" t="s">
        <v>3993</v>
      </c>
      <c r="N170" s="95" t="s">
        <v>4125</v>
      </c>
      <c r="O170" s="95">
        <v>44959</v>
      </c>
      <c r="P170" s="2" t="s">
        <v>121</v>
      </c>
      <c r="Q170" s="2" t="s">
        <v>3993</v>
      </c>
      <c r="R170" s="74" t="s">
        <v>4126</v>
      </c>
    </row>
    <row r="171" spans="1:20" x14ac:dyDescent="0.3">
      <c r="A171" t="s">
        <v>60</v>
      </c>
      <c r="B171" s="27" t="s">
        <v>4127</v>
      </c>
      <c r="C171" s="3" t="s">
        <v>1252</v>
      </c>
      <c r="D171" s="252"/>
      <c r="E171" s="252" t="s">
        <v>4128</v>
      </c>
      <c r="F171" s="252" t="s">
        <v>4065</v>
      </c>
      <c r="G171" s="252" t="s">
        <v>4129</v>
      </c>
      <c r="H171" s="7" t="s">
        <v>1398</v>
      </c>
      <c r="I171" s="252">
        <v>50</v>
      </c>
      <c r="J171" s="287">
        <v>44958</v>
      </c>
      <c r="K171" s="252">
        <v>2</v>
      </c>
      <c r="L171" s="252">
        <v>20</v>
      </c>
      <c r="M171" s="286">
        <v>45047</v>
      </c>
      <c r="N171" s="252" t="s">
        <v>4110</v>
      </c>
      <c r="O171" s="252" t="s">
        <v>4130</v>
      </c>
      <c r="P171" s="252" t="s">
        <v>665</v>
      </c>
      <c r="Q171" s="252" t="s">
        <v>4125</v>
      </c>
      <c r="R171" s="282" t="s">
        <v>191</v>
      </c>
      <c r="S171" s="282" t="s">
        <v>4131</v>
      </c>
    </row>
    <row r="172" spans="1:20" ht="43.2" x14ac:dyDescent="0.3">
      <c r="A172" t="s">
        <v>60</v>
      </c>
      <c r="B172" s="261" t="s">
        <v>2351</v>
      </c>
      <c r="C172" s="252" t="s">
        <v>4132</v>
      </c>
      <c r="D172" s="252" t="s">
        <v>4055</v>
      </c>
      <c r="E172" s="252" t="s">
        <v>4133</v>
      </c>
      <c r="F172" s="252" t="s">
        <v>4114</v>
      </c>
      <c r="G172" s="252" t="s">
        <v>4134</v>
      </c>
      <c r="H172" s="252" t="s">
        <v>205</v>
      </c>
      <c r="I172" s="252">
        <v>60</v>
      </c>
      <c r="J172" s="252"/>
      <c r="K172" s="252">
        <v>2</v>
      </c>
      <c r="L172" s="252"/>
      <c r="M172" s="252"/>
      <c r="N172" s="252" t="s">
        <v>4135</v>
      </c>
      <c r="O172" s="252"/>
      <c r="P172" s="252" t="s">
        <v>665</v>
      </c>
      <c r="Q172" s="252" t="s">
        <v>4131</v>
      </c>
      <c r="R172" s="74" t="s">
        <v>191</v>
      </c>
      <c r="S172" s="303" t="s">
        <v>4136</v>
      </c>
    </row>
    <row r="173" spans="1:20" x14ac:dyDescent="0.3">
      <c r="A173" t="s">
        <v>123</v>
      </c>
      <c r="B173" s="227" t="s">
        <v>4137</v>
      </c>
      <c r="C173" s="2" t="s">
        <v>4138</v>
      </c>
      <c r="D173" s="112">
        <v>44958</v>
      </c>
      <c r="E173" s="2" t="s">
        <v>897</v>
      </c>
      <c r="F173" s="95">
        <v>45078</v>
      </c>
      <c r="G173" s="2" t="s">
        <v>4139</v>
      </c>
      <c r="H173" s="67" t="s">
        <v>328</v>
      </c>
      <c r="I173" s="241">
        <v>10</v>
      </c>
      <c r="J173" s="2"/>
      <c r="K173" s="2">
        <v>1</v>
      </c>
      <c r="L173" s="2"/>
      <c r="M173" s="2"/>
      <c r="N173" s="95">
        <v>45261</v>
      </c>
      <c r="O173" s="2" t="s">
        <v>4109</v>
      </c>
      <c r="P173" s="2" t="s">
        <v>4140</v>
      </c>
      <c r="Q173" s="2"/>
      <c r="R173" s="74" t="s">
        <v>123</v>
      </c>
      <c r="S173" s="74" t="s">
        <v>4136</v>
      </c>
      <c r="T173" s="74" t="s">
        <v>4141</v>
      </c>
    </row>
    <row r="174" spans="1:20" ht="28.8" x14ac:dyDescent="0.3">
      <c r="A174" t="s">
        <v>123</v>
      </c>
      <c r="B174" s="227" t="s">
        <v>4142</v>
      </c>
      <c r="C174" s="219" t="s">
        <v>4143</v>
      </c>
      <c r="D174" s="2"/>
      <c r="E174" s="2" t="s">
        <v>4144</v>
      </c>
      <c r="F174" s="2"/>
      <c r="G174" s="2"/>
      <c r="H174" s="67" t="s">
        <v>4145</v>
      </c>
      <c r="I174" s="241">
        <v>8305</v>
      </c>
      <c r="J174" s="2"/>
      <c r="K174" s="2"/>
      <c r="L174" s="2"/>
      <c r="M174" s="252" t="s">
        <v>4146</v>
      </c>
      <c r="N174" s="2" t="s">
        <v>4147</v>
      </c>
      <c r="O174" s="2" t="s">
        <v>4125</v>
      </c>
      <c r="P174" s="219" t="s">
        <v>28</v>
      </c>
      <c r="Q174" s="2" t="s">
        <v>4135</v>
      </c>
      <c r="R174" s="74" t="s">
        <v>123</v>
      </c>
      <c r="S174" s="74" t="s">
        <v>4131</v>
      </c>
    </row>
    <row r="175" spans="1:20" ht="28.8" x14ac:dyDescent="0.3">
      <c r="A175" t="s">
        <v>123</v>
      </c>
      <c r="B175" s="227" t="s">
        <v>124</v>
      </c>
      <c r="C175" s="219" t="s">
        <v>4089</v>
      </c>
      <c r="D175" s="112">
        <v>44958</v>
      </c>
      <c r="E175" s="252" t="s">
        <v>4148</v>
      </c>
      <c r="F175" s="95">
        <v>45108</v>
      </c>
      <c r="G175" s="2" t="s">
        <v>4149</v>
      </c>
      <c r="H175" s="67" t="s">
        <v>1892</v>
      </c>
      <c r="I175" s="241">
        <v>30</v>
      </c>
      <c r="J175" s="2"/>
      <c r="K175" s="2">
        <v>1</v>
      </c>
      <c r="L175" s="2"/>
      <c r="M175" s="2"/>
      <c r="N175" s="95">
        <v>45261</v>
      </c>
      <c r="O175" s="2" t="s">
        <v>4109</v>
      </c>
      <c r="P175" s="2" t="s">
        <v>28</v>
      </c>
      <c r="Q175" s="2" t="s">
        <v>4150</v>
      </c>
      <c r="R175" s="74" t="s">
        <v>123</v>
      </c>
      <c r="S175" s="74" t="s">
        <v>4136</v>
      </c>
      <c r="T175" s="74" t="s">
        <v>4141</v>
      </c>
    </row>
    <row r="176" spans="1:20" ht="57.6" x14ac:dyDescent="0.3">
      <c r="A176" t="s">
        <v>60</v>
      </c>
      <c r="B176" s="261" t="s">
        <v>4151</v>
      </c>
      <c r="C176" s="35" t="s">
        <v>4152</v>
      </c>
      <c r="D176" s="252"/>
      <c r="E176" s="252" t="s">
        <v>4153</v>
      </c>
      <c r="F176" s="252" t="s">
        <v>3894</v>
      </c>
      <c r="G176" s="253" t="s">
        <v>3933</v>
      </c>
      <c r="H176" s="252" t="s">
        <v>513</v>
      </c>
      <c r="I176" s="252">
        <v>74.790000000000006</v>
      </c>
      <c r="J176" s="252" t="s">
        <v>4034</v>
      </c>
      <c r="K176" s="252">
        <v>3</v>
      </c>
      <c r="L176" s="252">
        <v>20</v>
      </c>
      <c r="M176" s="252" t="s">
        <v>3993</v>
      </c>
      <c r="N176" s="287" t="s">
        <v>4125</v>
      </c>
      <c r="O176" s="306">
        <v>45140</v>
      </c>
      <c r="P176" s="252" t="s">
        <v>28</v>
      </c>
      <c r="Q176" s="252" t="s">
        <v>4154</v>
      </c>
      <c r="R176" s="74" t="s">
        <v>191</v>
      </c>
      <c r="S176" t="s">
        <v>4150</v>
      </c>
    </row>
    <row r="177" spans="1:19" ht="43.2" x14ac:dyDescent="0.3">
      <c r="A177" t="s">
        <v>60</v>
      </c>
      <c r="B177" s="261" t="s">
        <v>4155</v>
      </c>
      <c r="C177" s="252" t="s">
        <v>4156</v>
      </c>
      <c r="D177" s="252"/>
      <c r="E177" s="252" t="s">
        <v>4157</v>
      </c>
      <c r="F177" s="286"/>
      <c r="G177" s="252" t="s">
        <v>2299</v>
      </c>
      <c r="H177" s="252" t="s">
        <v>4158</v>
      </c>
      <c r="I177" s="252">
        <v>17.5</v>
      </c>
      <c r="J177" s="252" t="s">
        <v>4004</v>
      </c>
      <c r="K177" s="252">
        <v>1</v>
      </c>
      <c r="L177" s="252">
        <v>20</v>
      </c>
      <c r="M177" s="252" t="s">
        <v>4059</v>
      </c>
      <c r="N177" s="286">
        <v>45170</v>
      </c>
      <c r="O177" s="252" t="s">
        <v>4150</v>
      </c>
      <c r="P177" s="252" t="s">
        <v>28</v>
      </c>
      <c r="Q177" s="252" t="s">
        <v>4136</v>
      </c>
      <c r="R177" s="74" t="s">
        <v>38</v>
      </c>
      <c r="S177" s="303" t="s">
        <v>4150</v>
      </c>
    </row>
    <row r="178" spans="1:19" x14ac:dyDescent="0.3">
      <c r="A178" t="s">
        <v>123</v>
      </c>
      <c r="B178" s="227" t="s">
        <v>3759</v>
      </c>
      <c r="C178" s="2" t="s">
        <v>4159</v>
      </c>
      <c r="D178" s="112">
        <v>44724</v>
      </c>
      <c r="E178" s="2" t="s">
        <v>4160</v>
      </c>
      <c r="F178" s="2" t="s">
        <v>4125</v>
      </c>
      <c r="G178" s="2" t="s">
        <v>1323</v>
      </c>
      <c r="H178" s="4" t="s">
        <v>4161</v>
      </c>
      <c r="I178" s="241">
        <v>27</v>
      </c>
      <c r="J178" s="2"/>
      <c r="K178" s="2">
        <v>1</v>
      </c>
      <c r="L178" s="2"/>
      <c r="M178" s="2"/>
      <c r="N178" s="2" t="s">
        <v>4131</v>
      </c>
      <c r="O178" s="2"/>
      <c r="P178" s="2" t="s">
        <v>4162</v>
      </c>
      <c r="Q178" s="2"/>
      <c r="R178" s="74" t="s">
        <v>123</v>
      </c>
      <c r="S178" s="74" t="s">
        <v>4163</v>
      </c>
    </row>
    <row r="179" spans="1:19" x14ac:dyDescent="0.3">
      <c r="A179" t="s">
        <v>123</v>
      </c>
      <c r="B179" s="227" t="s">
        <v>3759</v>
      </c>
      <c r="C179" s="2" t="s">
        <v>4159</v>
      </c>
      <c r="D179" s="112">
        <v>44724</v>
      </c>
      <c r="E179" s="2" t="s">
        <v>4164</v>
      </c>
      <c r="F179" s="2" t="s">
        <v>4125</v>
      </c>
      <c r="G179" s="2" t="s">
        <v>1323</v>
      </c>
      <c r="H179" s="4" t="s">
        <v>4161</v>
      </c>
      <c r="I179" s="241">
        <v>27</v>
      </c>
      <c r="J179" s="2"/>
      <c r="K179" s="2">
        <v>1</v>
      </c>
      <c r="L179" s="2"/>
      <c r="M179" s="2" t="s">
        <v>4165</v>
      </c>
      <c r="N179" s="2" t="s">
        <v>4121</v>
      </c>
      <c r="O179" s="2"/>
      <c r="P179" s="2" t="s">
        <v>4166</v>
      </c>
      <c r="Q179" s="2" t="s">
        <v>4115</v>
      </c>
      <c r="R179" s="74" t="s">
        <v>1575</v>
      </c>
      <c r="S179" s="74" t="s">
        <v>4167</v>
      </c>
    </row>
    <row r="180" spans="1:19" ht="28.8" x14ac:dyDescent="0.3">
      <c r="A180" t="s">
        <v>38</v>
      </c>
      <c r="B180" s="261" t="s">
        <v>490</v>
      </c>
      <c r="C180" s="252" t="s">
        <v>4168</v>
      </c>
      <c r="D180" s="252" t="s">
        <v>3925</v>
      </c>
      <c r="E180" s="251">
        <v>223419410</v>
      </c>
      <c r="F180" s="252" t="s">
        <v>4033</v>
      </c>
      <c r="G180" s="252" t="s">
        <v>1435</v>
      </c>
      <c r="H180" s="252" t="s">
        <v>4169</v>
      </c>
      <c r="I180" s="252">
        <v>18</v>
      </c>
      <c r="J180" s="252" t="s">
        <v>4058</v>
      </c>
      <c r="K180" s="252">
        <v>1</v>
      </c>
      <c r="L180" s="252">
        <v>20</v>
      </c>
      <c r="M180" s="286">
        <v>45200</v>
      </c>
      <c r="N180" s="252" t="s">
        <v>4131</v>
      </c>
      <c r="O180" s="286">
        <v>45079</v>
      </c>
      <c r="P180" s="252" t="s">
        <v>665</v>
      </c>
      <c r="Q180" s="252" t="s">
        <v>4167</v>
      </c>
      <c r="R180" s="74" t="s">
        <v>191</v>
      </c>
      <c r="S180" s="137">
        <v>44987</v>
      </c>
    </row>
    <row r="181" spans="1:19" ht="57.6" x14ac:dyDescent="0.3">
      <c r="A181" t="s">
        <v>60</v>
      </c>
      <c r="B181" s="261" t="s">
        <v>4170</v>
      </c>
      <c r="C181" s="252" t="s">
        <v>4171</v>
      </c>
      <c r="D181" s="286">
        <v>44604</v>
      </c>
      <c r="E181" s="252" t="s">
        <v>4172</v>
      </c>
      <c r="F181" s="287">
        <v>44785</v>
      </c>
      <c r="G181" s="252" t="s">
        <v>4173</v>
      </c>
      <c r="H181" s="252" t="s">
        <v>4174</v>
      </c>
      <c r="I181" s="252">
        <v>249.26</v>
      </c>
      <c r="J181" s="287">
        <v>44958</v>
      </c>
      <c r="K181" s="252">
        <v>10</v>
      </c>
      <c r="L181" s="252">
        <v>20</v>
      </c>
      <c r="M181" s="286">
        <v>45139</v>
      </c>
      <c r="N181" s="252" t="s">
        <v>4150</v>
      </c>
      <c r="O181" s="286">
        <v>45048</v>
      </c>
      <c r="P181" s="252" t="s">
        <v>665</v>
      </c>
      <c r="Q181" s="287">
        <v>44928</v>
      </c>
      <c r="R181" s="74" t="s">
        <v>191</v>
      </c>
      <c r="S181" s="137">
        <v>45018</v>
      </c>
    </row>
    <row r="182" spans="1:19" x14ac:dyDescent="0.3">
      <c r="A182" t="s">
        <v>38</v>
      </c>
      <c r="B182" s="36" t="s">
        <v>2427</v>
      </c>
      <c r="C182" s="67" t="s">
        <v>4175</v>
      </c>
      <c r="D182" s="19" t="s">
        <v>4176</v>
      </c>
      <c r="E182" s="27" t="s">
        <v>4177</v>
      </c>
      <c r="F182" s="95">
        <v>44573</v>
      </c>
      <c r="G182" s="2" t="s">
        <v>4178</v>
      </c>
      <c r="H182" s="20" t="s">
        <v>137</v>
      </c>
      <c r="I182" s="20">
        <v>60.96</v>
      </c>
      <c r="J182" s="112">
        <v>45047</v>
      </c>
      <c r="K182" s="5">
        <v>3</v>
      </c>
      <c r="L182" s="5">
        <v>20</v>
      </c>
      <c r="M182" s="95">
        <v>45047</v>
      </c>
      <c r="N182" s="112" t="s">
        <v>4147</v>
      </c>
      <c r="O182" s="2">
        <v>14</v>
      </c>
      <c r="P182" s="2" t="s">
        <v>28</v>
      </c>
      <c r="Q182" s="2" t="s">
        <v>4121</v>
      </c>
      <c r="R182" s="74" t="s">
        <v>191</v>
      </c>
      <c r="S182" s="137">
        <v>45019</v>
      </c>
    </row>
    <row r="183" spans="1:19" ht="43.2" x14ac:dyDescent="0.3">
      <c r="A183" t="s">
        <v>60</v>
      </c>
      <c r="B183" s="27" t="s">
        <v>4179</v>
      </c>
      <c r="C183" s="252" t="s">
        <v>4180</v>
      </c>
      <c r="D183" s="252"/>
      <c r="E183" s="252" t="s">
        <v>4181</v>
      </c>
      <c r="F183" s="252" t="s">
        <v>3967</v>
      </c>
      <c r="G183" s="252" t="s">
        <v>4182</v>
      </c>
      <c r="H183" s="290" t="s">
        <v>4183</v>
      </c>
      <c r="I183" s="299">
        <v>49.52</v>
      </c>
      <c r="J183" s="252" t="s">
        <v>4125</v>
      </c>
      <c r="K183" s="252">
        <v>2</v>
      </c>
      <c r="L183" s="252">
        <v>20</v>
      </c>
      <c r="M183" s="252" t="s">
        <v>4116</v>
      </c>
      <c r="N183" s="287" t="s">
        <v>4184</v>
      </c>
      <c r="O183" s="286">
        <v>45018</v>
      </c>
      <c r="P183" s="252" t="s">
        <v>665</v>
      </c>
      <c r="Q183" s="287">
        <v>44959</v>
      </c>
      <c r="R183" s="74" t="s">
        <v>191</v>
      </c>
      <c r="S183" s="137">
        <v>45048</v>
      </c>
    </row>
    <row r="184" spans="1:19" x14ac:dyDescent="0.3">
      <c r="A184" t="s">
        <v>123</v>
      </c>
      <c r="B184" s="2" t="s">
        <v>124</v>
      </c>
      <c r="C184" s="2" t="s">
        <v>4185</v>
      </c>
      <c r="D184" s="112">
        <v>45261</v>
      </c>
      <c r="E184" s="19" t="s">
        <v>4186</v>
      </c>
      <c r="F184" s="2"/>
      <c r="G184" s="2" t="s">
        <v>4187</v>
      </c>
      <c r="H184" s="2" t="s">
        <v>4188</v>
      </c>
      <c r="I184" s="2">
        <v>30</v>
      </c>
      <c r="J184" s="2"/>
      <c r="K184" s="2">
        <v>1</v>
      </c>
      <c r="L184" s="2"/>
      <c r="M184" s="2"/>
      <c r="N184" s="95">
        <v>44959</v>
      </c>
      <c r="O184" s="2">
        <v>14</v>
      </c>
      <c r="P184" s="2" t="s">
        <v>28</v>
      </c>
      <c r="Q184" s="112">
        <v>44987</v>
      </c>
      <c r="R184" s="74" t="s">
        <v>1575</v>
      </c>
    </row>
    <row r="185" spans="1:19" x14ac:dyDescent="0.3">
      <c r="A185" t="s">
        <v>38</v>
      </c>
      <c r="B185" s="27" t="s">
        <v>891</v>
      </c>
      <c r="C185" s="2"/>
      <c r="D185" s="2"/>
      <c r="E185" s="19" t="s">
        <v>4189</v>
      </c>
      <c r="F185" s="2" t="s">
        <v>4108</v>
      </c>
      <c r="G185" s="2" t="s">
        <v>3731</v>
      </c>
      <c r="H185" s="25" t="s">
        <v>893</v>
      </c>
      <c r="I185" s="2">
        <v>5</v>
      </c>
      <c r="J185" s="2"/>
      <c r="K185" s="2"/>
      <c r="L185" s="2"/>
      <c r="M185" s="2"/>
      <c r="N185" s="2" t="s">
        <v>4130</v>
      </c>
      <c r="O185" s="2"/>
      <c r="P185" s="2" t="s">
        <v>28</v>
      </c>
      <c r="Q185" s="2"/>
      <c r="R185" s="74" t="s">
        <v>38</v>
      </c>
      <c r="S185" s="137">
        <v>45109</v>
      </c>
    </row>
    <row r="186" spans="1:19" x14ac:dyDescent="0.3">
      <c r="A186" t="s">
        <v>38</v>
      </c>
      <c r="B186" s="36" t="s">
        <v>4190</v>
      </c>
      <c r="C186" s="267" t="s">
        <v>4191</v>
      </c>
      <c r="D186" s="2" t="s">
        <v>3889</v>
      </c>
      <c r="E186" s="25" t="s">
        <v>4192</v>
      </c>
      <c r="F186" s="2" t="s">
        <v>3894</v>
      </c>
      <c r="G186" s="2" t="s">
        <v>1421</v>
      </c>
      <c r="H186" s="7" t="s">
        <v>1422</v>
      </c>
      <c r="I186" s="20">
        <v>262.23599999999999</v>
      </c>
      <c r="J186" s="44" t="s">
        <v>4147</v>
      </c>
      <c r="K186" s="5">
        <v>11</v>
      </c>
      <c r="L186" s="5">
        <v>20</v>
      </c>
      <c r="M186" s="96" t="s">
        <v>4193</v>
      </c>
      <c r="N186" s="95" t="s">
        <v>4115</v>
      </c>
      <c r="O186" s="2" t="s">
        <v>4194</v>
      </c>
      <c r="P186" s="2" t="s">
        <v>28</v>
      </c>
      <c r="Q186" s="112">
        <v>45048</v>
      </c>
      <c r="R186" s="74" t="s">
        <v>38</v>
      </c>
      <c r="S186" s="137">
        <v>45109</v>
      </c>
    </row>
    <row r="187" spans="1:19" ht="57.6" x14ac:dyDescent="0.3">
      <c r="A187" t="s">
        <v>60</v>
      </c>
      <c r="B187" s="308" t="s">
        <v>1460</v>
      </c>
      <c r="C187" s="295" t="s">
        <v>4195</v>
      </c>
      <c r="D187" s="283" t="s">
        <v>4196</v>
      </c>
      <c r="E187" s="26" t="s">
        <v>4197</v>
      </c>
      <c r="F187" s="252" t="s">
        <v>3914</v>
      </c>
      <c r="G187" s="252" t="s">
        <v>4198</v>
      </c>
      <c r="H187" s="24" t="s">
        <v>3942</v>
      </c>
      <c r="I187" s="288">
        <v>138.4</v>
      </c>
      <c r="J187" s="286">
        <v>45078</v>
      </c>
      <c r="K187" s="252">
        <v>5</v>
      </c>
      <c r="L187" s="252">
        <v>20</v>
      </c>
      <c r="M187" s="287">
        <v>45200</v>
      </c>
      <c r="N187" s="287">
        <v>44928</v>
      </c>
      <c r="O187" s="288" t="s">
        <v>4199</v>
      </c>
      <c r="P187" s="252" t="s">
        <v>665</v>
      </c>
      <c r="Q187" s="252" t="s">
        <v>4200</v>
      </c>
      <c r="R187" s="282" t="s">
        <v>38</v>
      </c>
      <c r="S187" s="320">
        <v>45109</v>
      </c>
    </row>
    <row r="188" spans="1:19" x14ac:dyDescent="0.3">
      <c r="A188" t="s">
        <v>123</v>
      </c>
      <c r="B188" s="27" t="s">
        <v>4201</v>
      </c>
      <c r="C188" s="2" t="s">
        <v>4202</v>
      </c>
      <c r="D188" s="112">
        <v>44693</v>
      </c>
      <c r="E188" s="2" t="s">
        <v>4203</v>
      </c>
      <c r="F188" s="2" t="s">
        <v>4069</v>
      </c>
      <c r="G188" s="2" t="s">
        <v>23</v>
      </c>
      <c r="H188" s="2" t="s">
        <v>4204</v>
      </c>
      <c r="I188" s="2">
        <v>32</v>
      </c>
      <c r="J188" s="2"/>
      <c r="K188" s="2">
        <v>2</v>
      </c>
      <c r="L188" s="2">
        <v>20</v>
      </c>
      <c r="M188" s="2" t="s">
        <v>4135</v>
      </c>
      <c r="N188" s="95">
        <v>45018</v>
      </c>
      <c r="O188" s="19" t="s">
        <v>4199</v>
      </c>
      <c r="P188" s="2" t="s">
        <v>28</v>
      </c>
      <c r="Q188" s="2"/>
      <c r="R188" s="74" t="s">
        <v>1575</v>
      </c>
      <c r="S188" s="137">
        <v>45109</v>
      </c>
    </row>
    <row r="189" spans="1:19" x14ac:dyDescent="0.3">
      <c r="A189" t="s">
        <v>38</v>
      </c>
      <c r="B189" s="27" t="s">
        <v>2864</v>
      </c>
      <c r="C189" s="2" t="s">
        <v>4205</v>
      </c>
      <c r="D189" s="19" t="s">
        <v>3993</v>
      </c>
      <c r="E189" s="25" t="s">
        <v>4206</v>
      </c>
      <c r="F189" s="95">
        <v>45231</v>
      </c>
      <c r="G189" s="2" t="s">
        <v>3656</v>
      </c>
      <c r="H189" s="25" t="s">
        <v>137</v>
      </c>
      <c r="I189" s="2">
        <v>301.74</v>
      </c>
      <c r="J189" s="112">
        <v>45231</v>
      </c>
      <c r="K189" s="5">
        <v>15</v>
      </c>
      <c r="L189" s="5">
        <v>20</v>
      </c>
      <c r="M189" s="2" t="s">
        <v>4115</v>
      </c>
      <c r="N189" s="95">
        <v>45018</v>
      </c>
      <c r="O189" s="2" t="s">
        <v>4207</v>
      </c>
      <c r="P189" s="2" t="s">
        <v>4208</v>
      </c>
      <c r="Q189" s="2" t="s">
        <v>4167</v>
      </c>
      <c r="R189" s="74" t="s">
        <v>38</v>
      </c>
      <c r="S189" s="137">
        <v>45140</v>
      </c>
    </row>
    <row r="190" spans="1:19" ht="57.6" x14ac:dyDescent="0.3">
      <c r="A190" t="s">
        <v>60</v>
      </c>
      <c r="B190" s="261" t="s">
        <v>4209</v>
      </c>
      <c r="C190" s="252" t="s">
        <v>4210</v>
      </c>
      <c r="D190" s="252" t="s">
        <v>4044</v>
      </c>
      <c r="E190" s="252" t="s">
        <v>4211</v>
      </c>
      <c r="F190" s="252" t="s">
        <v>3993</v>
      </c>
      <c r="G190" s="252" t="s">
        <v>4212</v>
      </c>
      <c r="H190" s="317" t="s">
        <v>4213</v>
      </c>
      <c r="I190" s="252">
        <v>255.14</v>
      </c>
      <c r="J190" s="286">
        <v>45017</v>
      </c>
      <c r="K190" s="252">
        <v>10</v>
      </c>
      <c r="L190" s="252">
        <v>20</v>
      </c>
      <c r="M190" s="286">
        <v>44928</v>
      </c>
      <c r="N190" s="286">
        <v>44928</v>
      </c>
      <c r="O190" s="252" t="s">
        <v>4214</v>
      </c>
      <c r="P190" s="252" t="s">
        <v>28</v>
      </c>
      <c r="Q190" s="252" t="s">
        <v>4215</v>
      </c>
      <c r="R190" s="74" t="s">
        <v>191</v>
      </c>
      <c r="S190" s="137">
        <v>45262</v>
      </c>
    </row>
    <row r="191" spans="1:19" x14ac:dyDescent="0.3">
      <c r="A191" t="s">
        <v>60</v>
      </c>
      <c r="B191" s="36" t="s">
        <v>1556</v>
      </c>
      <c r="C191" s="4" t="s">
        <v>4216</v>
      </c>
      <c r="D191" s="95">
        <v>45139</v>
      </c>
      <c r="E191" s="19">
        <v>224258527</v>
      </c>
      <c r="F191" s="95">
        <v>45261</v>
      </c>
      <c r="G191" s="2" t="s">
        <v>4217</v>
      </c>
      <c r="H191" s="20" t="s">
        <v>4218</v>
      </c>
      <c r="I191" s="2">
        <v>474.16899999999998</v>
      </c>
      <c r="J191" s="112"/>
      <c r="K191" s="44">
        <v>17</v>
      </c>
      <c r="L191" s="44">
        <v>40</v>
      </c>
      <c r="M191" s="95" t="s">
        <v>4125</v>
      </c>
      <c r="N191" s="95" t="s">
        <v>4219</v>
      </c>
      <c r="O191" s="2" t="s">
        <v>4199</v>
      </c>
      <c r="P191" s="2" t="s">
        <v>28</v>
      </c>
      <c r="Q191" s="286">
        <v>45140</v>
      </c>
      <c r="R191" s="74" t="s">
        <v>191</v>
      </c>
      <c r="S191" s="137">
        <v>45262</v>
      </c>
    </row>
    <row r="192" spans="1:19" x14ac:dyDescent="0.3">
      <c r="A192" t="s">
        <v>60</v>
      </c>
      <c r="B192" s="36" t="s">
        <v>1556</v>
      </c>
      <c r="C192" s="2" t="s">
        <v>4220</v>
      </c>
      <c r="D192" s="95">
        <v>45078</v>
      </c>
      <c r="E192" s="19">
        <v>221689043</v>
      </c>
      <c r="F192" s="95">
        <v>45261</v>
      </c>
      <c r="G192" s="2" t="s">
        <v>4217</v>
      </c>
      <c r="H192" s="20" t="s">
        <v>4218</v>
      </c>
      <c r="I192" s="2">
        <v>503.50700000000001</v>
      </c>
      <c r="J192" s="2"/>
      <c r="K192" s="44">
        <v>18</v>
      </c>
      <c r="L192" s="44">
        <v>40</v>
      </c>
      <c r="M192" s="95" t="s">
        <v>4125</v>
      </c>
      <c r="N192" s="95">
        <v>44928</v>
      </c>
      <c r="O192" s="2" t="s">
        <v>4214</v>
      </c>
      <c r="P192" s="2" t="s">
        <v>28</v>
      </c>
      <c r="Q192" s="286">
        <v>45171</v>
      </c>
      <c r="R192" s="74" t="s">
        <v>4221</v>
      </c>
      <c r="S192" s="321" t="s">
        <v>4222</v>
      </c>
    </row>
    <row r="193" spans="1:20" ht="28.8" x14ac:dyDescent="0.3">
      <c r="A193" t="s">
        <v>49</v>
      </c>
      <c r="B193" s="123" t="s">
        <v>124</v>
      </c>
      <c r="C193" s="219" t="s">
        <v>4223</v>
      </c>
      <c r="D193" s="219" t="s">
        <v>4224</v>
      </c>
      <c r="E193" s="219" t="s">
        <v>4225</v>
      </c>
      <c r="F193" s="252" t="s">
        <v>1562</v>
      </c>
      <c r="G193" s="219" t="s">
        <v>4226</v>
      </c>
      <c r="H193" s="2" t="s">
        <v>4227</v>
      </c>
      <c r="I193" s="2">
        <v>30</v>
      </c>
      <c r="J193" s="2"/>
      <c r="K193" s="2">
        <v>1</v>
      </c>
      <c r="L193" s="2"/>
      <c r="M193" s="95">
        <v>45171</v>
      </c>
      <c r="N193" s="2"/>
      <c r="O193" s="2"/>
      <c r="P193" s="2" t="s">
        <v>28</v>
      </c>
      <c r="Q193" s="112">
        <v>45171</v>
      </c>
      <c r="R193" s="74" t="s">
        <v>49</v>
      </c>
      <c r="S193" t="s">
        <v>4199</v>
      </c>
    </row>
    <row r="194" spans="1:20" x14ac:dyDescent="0.3">
      <c r="A194" t="s">
        <v>38</v>
      </c>
      <c r="B194" s="36" t="s">
        <v>2427</v>
      </c>
      <c r="C194" s="67" t="s">
        <v>4175</v>
      </c>
      <c r="D194" s="19" t="s">
        <v>4176</v>
      </c>
      <c r="E194" s="67" t="s">
        <v>4228</v>
      </c>
      <c r="F194" s="95">
        <v>44785</v>
      </c>
      <c r="G194" s="2" t="s">
        <v>4178</v>
      </c>
      <c r="H194" s="20" t="s">
        <v>137</v>
      </c>
      <c r="I194" s="20">
        <v>258.27999999999997</v>
      </c>
      <c r="J194" s="112">
        <v>44958</v>
      </c>
      <c r="K194" s="34">
        <v>12</v>
      </c>
      <c r="L194" s="312">
        <v>20</v>
      </c>
      <c r="M194" s="19" t="s">
        <v>4109</v>
      </c>
      <c r="N194" s="95">
        <v>45232</v>
      </c>
      <c r="O194" s="2" t="s">
        <v>4194</v>
      </c>
      <c r="P194" s="2" t="s">
        <v>28</v>
      </c>
      <c r="Q194" s="2"/>
      <c r="R194" t="s">
        <v>38</v>
      </c>
      <c r="S194" s="137" t="s">
        <v>4214</v>
      </c>
    </row>
    <row r="195" spans="1:20" x14ac:dyDescent="0.3">
      <c r="A195" t="s">
        <v>123</v>
      </c>
      <c r="B195" s="227" t="s">
        <v>384</v>
      </c>
      <c r="C195" s="219" t="s">
        <v>4229</v>
      </c>
      <c r="D195" s="219" t="s">
        <v>4230</v>
      </c>
      <c r="E195" s="262">
        <v>16122</v>
      </c>
      <c r="F195" s="252" t="s">
        <v>3812</v>
      </c>
      <c r="G195" s="2" t="s">
        <v>4231</v>
      </c>
      <c r="H195" s="67" t="s">
        <v>4232</v>
      </c>
      <c r="I195" s="241">
        <v>29</v>
      </c>
      <c r="J195" s="2"/>
      <c r="K195" s="2">
        <v>1</v>
      </c>
      <c r="L195" s="2"/>
      <c r="M195" s="2" t="s">
        <v>4233</v>
      </c>
      <c r="N195" s="2" t="s">
        <v>4199</v>
      </c>
      <c r="O195" s="2"/>
      <c r="P195" s="2" t="s">
        <v>14</v>
      </c>
      <c r="Q195" s="112">
        <v>45140</v>
      </c>
      <c r="R195" s="18" t="s">
        <v>123</v>
      </c>
      <c r="S195" s="137" t="s">
        <v>4234</v>
      </c>
    </row>
    <row r="196" spans="1:20" x14ac:dyDescent="0.3">
      <c r="A196" t="s">
        <v>38</v>
      </c>
      <c r="B196" s="36" t="s">
        <v>2427</v>
      </c>
      <c r="C196" s="2" t="s">
        <v>4235</v>
      </c>
      <c r="D196" s="95">
        <v>44958</v>
      </c>
      <c r="E196" s="25" t="s">
        <v>4236</v>
      </c>
      <c r="F196" s="2" t="s">
        <v>4017</v>
      </c>
      <c r="G196" s="2" t="s">
        <v>3656</v>
      </c>
      <c r="H196" s="20" t="s">
        <v>137</v>
      </c>
      <c r="I196" s="2">
        <v>315.23</v>
      </c>
      <c r="J196" s="112">
        <v>45231</v>
      </c>
      <c r="K196" s="34">
        <v>15</v>
      </c>
      <c r="L196" s="5">
        <v>20</v>
      </c>
      <c r="M196" s="2" t="s">
        <v>4115</v>
      </c>
      <c r="N196" s="95">
        <v>45109</v>
      </c>
      <c r="O196" s="2" t="s">
        <v>4237</v>
      </c>
      <c r="P196" s="2" t="s">
        <v>4238</v>
      </c>
      <c r="Q196" s="2" t="s">
        <v>4239</v>
      </c>
      <c r="R196" s="74" t="s">
        <v>38</v>
      </c>
      <c r="S196" s="137" t="s">
        <v>4240</v>
      </c>
    </row>
    <row r="197" spans="1:20" ht="57.6" x14ac:dyDescent="0.3">
      <c r="A197" t="s">
        <v>60</v>
      </c>
      <c r="B197" s="261" t="s">
        <v>4241</v>
      </c>
      <c r="C197" s="252" t="s">
        <v>4242</v>
      </c>
      <c r="D197" s="252" t="s">
        <v>4059</v>
      </c>
      <c r="E197" s="251">
        <v>223258446</v>
      </c>
      <c r="F197" s="252" t="s">
        <v>4011</v>
      </c>
      <c r="G197" s="252" t="s">
        <v>1421</v>
      </c>
      <c r="H197" s="252" t="s">
        <v>118</v>
      </c>
      <c r="I197" s="252">
        <v>289.95999999999998</v>
      </c>
      <c r="J197" s="252"/>
      <c r="K197" s="252">
        <v>13</v>
      </c>
      <c r="L197" s="252">
        <v>20</v>
      </c>
      <c r="M197" s="252" t="s">
        <v>4167</v>
      </c>
      <c r="N197" s="287">
        <v>45262</v>
      </c>
      <c r="O197" s="252" t="s">
        <v>4243</v>
      </c>
      <c r="P197" s="252" t="s">
        <v>28</v>
      </c>
      <c r="Q197" s="252" t="s">
        <v>4244</v>
      </c>
      <c r="R197" s="74" t="s">
        <v>123</v>
      </c>
      <c r="S197" s="137" t="s">
        <v>4245</v>
      </c>
    </row>
    <row r="198" spans="1:20" x14ac:dyDescent="0.3">
      <c r="A198" t="s">
        <v>60</v>
      </c>
      <c r="B198" s="36" t="s">
        <v>1556</v>
      </c>
      <c r="C198" s="4" t="s">
        <v>4216</v>
      </c>
      <c r="D198" s="95">
        <v>45139</v>
      </c>
      <c r="E198" s="19">
        <v>224022115</v>
      </c>
      <c r="F198" s="95">
        <v>44986</v>
      </c>
      <c r="G198" s="2" t="s">
        <v>4217</v>
      </c>
      <c r="H198" s="20" t="s">
        <v>4218</v>
      </c>
      <c r="I198" s="2">
        <v>28.007000000000001</v>
      </c>
      <c r="J198" s="97">
        <v>45048</v>
      </c>
      <c r="K198" s="44">
        <v>1</v>
      </c>
      <c r="L198" s="44">
        <v>40</v>
      </c>
      <c r="M198" s="95" t="s">
        <v>4167</v>
      </c>
      <c r="N198" s="95">
        <v>45262</v>
      </c>
      <c r="O198" s="2" t="s">
        <v>4243</v>
      </c>
      <c r="P198" s="2" t="s">
        <v>516</v>
      </c>
      <c r="R198" s="74" t="s">
        <v>38</v>
      </c>
      <c r="S198" s="137" t="s">
        <v>4194</v>
      </c>
    </row>
    <row r="199" spans="1:20" ht="28.8" x14ac:dyDescent="0.3">
      <c r="A199" t="s">
        <v>60</v>
      </c>
      <c r="B199" s="261" t="s">
        <v>1542</v>
      </c>
      <c r="C199" s="253" t="s">
        <v>4246</v>
      </c>
      <c r="D199" s="296">
        <v>44907</v>
      </c>
      <c r="E199" s="35">
        <v>223909730</v>
      </c>
      <c r="F199" s="296">
        <v>45170</v>
      </c>
      <c r="G199" s="253" t="s">
        <v>3553</v>
      </c>
      <c r="H199" s="253" t="s">
        <v>205</v>
      </c>
      <c r="I199" s="253">
        <v>108</v>
      </c>
      <c r="J199" s="253"/>
      <c r="K199" s="253">
        <v>4</v>
      </c>
      <c r="L199" s="253">
        <v>20</v>
      </c>
      <c r="M199" s="253" t="s">
        <v>4167</v>
      </c>
      <c r="N199" s="293">
        <v>45262</v>
      </c>
      <c r="O199" s="253" t="s">
        <v>4243</v>
      </c>
      <c r="P199" s="253" t="s">
        <v>28</v>
      </c>
      <c r="Q199" s="253" t="s">
        <v>4237</v>
      </c>
      <c r="R199" s="74" t="s">
        <v>191</v>
      </c>
      <c r="S199" s="137" t="s">
        <v>4247</v>
      </c>
    </row>
    <row r="200" spans="1:20" x14ac:dyDescent="0.3">
      <c r="A200" t="s">
        <v>38</v>
      </c>
      <c r="B200" s="27" t="s">
        <v>4248</v>
      </c>
      <c r="C200" s="2" t="s">
        <v>4249</v>
      </c>
      <c r="D200" s="95">
        <v>45017</v>
      </c>
      <c r="E200" s="4">
        <v>221005294</v>
      </c>
      <c r="F200" s="2" t="s">
        <v>3965</v>
      </c>
      <c r="G200" s="2" t="s">
        <v>4250</v>
      </c>
      <c r="H200" s="25" t="s">
        <v>118</v>
      </c>
      <c r="I200" s="2">
        <v>475.83300000000003</v>
      </c>
      <c r="J200" s="169">
        <v>45261</v>
      </c>
      <c r="K200" s="34">
        <v>17</v>
      </c>
      <c r="L200" s="5">
        <v>40</v>
      </c>
      <c r="M200" s="95">
        <v>44986</v>
      </c>
      <c r="N200" s="95">
        <v>45201</v>
      </c>
      <c r="O200" s="2" t="s">
        <v>4251</v>
      </c>
      <c r="P200" s="2" t="s">
        <v>28</v>
      </c>
      <c r="Q200" s="2" t="s">
        <v>4252</v>
      </c>
      <c r="R200" s="74" t="s">
        <v>38</v>
      </c>
      <c r="S200" s="137" t="s">
        <v>4245</v>
      </c>
    </row>
    <row r="201" spans="1:20" ht="15.6" x14ac:dyDescent="0.3">
      <c r="A201" t="s">
        <v>55</v>
      </c>
      <c r="B201" s="11" t="s">
        <v>4253</v>
      </c>
      <c r="C201" s="20" t="s">
        <v>4254</v>
      </c>
      <c r="D201" s="2"/>
      <c r="E201" s="2"/>
      <c r="F201" s="2"/>
      <c r="G201" s="2"/>
      <c r="H201" s="7" t="s">
        <v>865</v>
      </c>
      <c r="I201" s="10">
        <v>33</v>
      </c>
      <c r="J201" s="2"/>
      <c r="K201" s="2"/>
      <c r="L201" s="2"/>
      <c r="M201" s="2"/>
      <c r="N201" s="2" t="s">
        <v>4255</v>
      </c>
      <c r="O201" s="2"/>
      <c r="P201" s="6" t="s">
        <v>4256</v>
      </c>
      <c r="Q201" s="2"/>
      <c r="R201" s="74" t="s">
        <v>55</v>
      </c>
      <c r="S201" s="137" t="s">
        <v>4247</v>
      </c>
    </row>
    <row r="202" spans="1:20" ht="28.8" x14ac:dyDescent="0.3">
      <c r="A202" t="s">
        <v>38</v>
      </c>
      <c r="B202" s="27" t="s">
        <v>1486</v>
      </c>
      <c r="C202" s="2" t="s">
        <v>4257</v>
      </c>
      <c r="D202" s="95">
        <v>44604</v>
      </c>
      <c r="E202" s="4">
        <v>223979256</v>
      </c>
      <c r="F202" s="95">
        <v>44927</v>
      </c>
      <c r="G202" s="252" t="s">
        <v>1355</v>
      </c>
      <c r="H202" s="20" t="s">
        <v>4258</v>
      </c>
      <c r="I202" s="56">
        <v>355.202</v>
      </c>
      <c r="J202" s="169">
        <v>45109</v>
      </c>
      <c r="K202" s="34">
        <v>15</v>
      </c>
      <c r="L202" s="5">
        <v>20</v>
      </c>
      <c r="M202" s="95">
        <v>45140</v>
      </c>
      <c r="N202" s="95" t="s">
        <v>4245</v>
      </c>
      <c r="O202" s="112">
        <v>45110</v>
      </c>
      <c r="P202" s="2" t="s">
        <v>28</v>
      </c>
      <c r="Q202" s="2" t="s">
        <v>4237</v>
      </c>
      <c r="R202" s="74" t="s">
        <v>38</v>
      </c>
      <c r="S202" s="137" t="s">
        <v>4259</v>
      </c>
    </row>
    <row r="203" spans="1:20" ht="43.2" x14ac:dyDescent="0.3">
      <c r="A203" t="s">
        <v>60</v>
      </c>
      <c r="B203" s="27" t="s">
        <v>4050</v>
      </c>
      <c r="C203" s="253" t="s">
        <v>4260</v>
      </c>
      <c r="D203" s="286">
        <v>45140</v>
      </c>
      <c r="E203" s="252" t="s">
        <v>4261</v>
      </c>
      <c r="F203" s="252" t="s">
        <v>4126</v>
      </c>
      <c r="G203" s="252" t="s">
        <v>3806</v>
      </c>
      <c r="H203" s="7" t="s">
        <v>1633</v>
      </c>
      <c r="I203" s="23">
        <v>125</v>
      </c>
      <c r="J203" s="286">
        <v>45109</v>
      </c>
      <c r="K203" s="252">
        <v>5</v>
      </c>
      <c r="L203" s="252">
        <v>20</v>
      </c>
      <c r="M203" s="287">
        <v>45109</v>
      </c>
      <c r="N203" s="286" t="s">
        <v>4214</v>
      </c>
      <c r="O203" s="252" t="s">
        <v>4262</v>
      </c>
      <c r="P203" s="252" t="s">
        <v>28</v>
      </c>
      <c r="Q203" s="252" t="s">
        <v>4263</v>
      </c>
      <c r="R203" s="74" t="s">
        <v>350</v>
      </c>
      <c r="S203" s="137" t="s">
        <v>4262</v>
      </c>
    </row>
    <row r="204" spans="1:20" x14ac:dyDescent="0.3">
      <c r="A204" t="s">
        <v>60</v>
      </c>
      <c r="B204" s="36" t="s">
        <v>1556</v>
      </c>
      <c r="C204" s="2" t="s">
        <v>4220</v>
      </c>
      <c r="D204" s="95">
        <v>45078</v>
      </c>
      <c r="E204" s="19">
        <v>221689043</v>
      </c>
      <c r="F204" s="95">
        <v>45261</v>
      </c>
      <c r="G204" s="2" t="s">
        <v>4217</v>
      </c>
      <c r="H204" s="20" t="s">
        <v>4218</v>
      </c>
      <c r="I204" s="2">
        <v>28.006</v>
      </c>
      <c r="J204" s="2"/>
      <c r="K204" s="44">
        <v>1</v>
      </c>
      <c r="L204" s="44">
        <v>40</v>
      </c>
      <c r="M204" s="95" t="s">
        <v>4125</v>
      </c>
      <c r="N204" s="95" t="s">
        <v>4245</v>
      </c>
      <c r="O204" s="112">
        <v>45110</v>
      </c>
      <c r="P204" s="266" t="s">
        <v>4264</v>
      </c>
      <c r="Q204" s="286">
        <v>45171</v>
      </c>
      <c r="R204" s="74" t="s">
        <v>191</v>
      </c>
      <c r="S204" s="137" t="s">
        <v>4163</v>
      </c>
    </row>
    <row r="205" spans="1:20" ht="43.2" x14ac:dyDescent="0.3">
      <c r="A205" t="s">
        <v>60</v>
      </c>
      <c r="B205" s="261" t="s">
        <v>4265</v>
      </c>
      <c r="C205" s="252" t="s">
        <v>4266</v>
      </c>
      <c r="D205" s="286">
        <v>45170</v>
      </c>
      <c r="E205" s="251">
        <v>224416379</v>
      </c>
      <c r="F205" s="252" t="s">
        <v>4114</v>
      </c>
      <c r="G205" s="252" t="s">
        <v>2578</v>
      </c>
      <c r="H205" s="252" t="s">
        <v>4267</v>
      </c>
      <c r="I205" s="252">
        <v>18</v>
      </c>
      <c r="J205" s="252"/>
      <c r="K205" s="252">
        <v>1</v>
      </c>
      <c r="L205" s="252">
        <v>20</v>
      </c>
      <c r="M205" s="252" t="s">
        <v>4163</v>
      </c>
      <c r="N205" s="252" t="s">
        <v>4262</v>
      </c>
      <c r="O205" s="286">
        <v>45233</v>
      </c>
      <c r="P205" s="252" t="s">
        <v>28</v>
      </c>
      <c r="Q205" s="252" t="s">
        <v>4268</v>
      </c>
      <c r="R205" s="74" t="s">
        <v>191</v>
      </c>
      <c r="S205" s="137">
        <v>44929</v>
      </c>
    </row>
    <row r="206" spans="1:20" x14ac:dyDescent="0.3">
      <c r="A206" t="s">
        <v>38</v>
      </c>
      <c r="B206" s="27" t="s">
        <v>4269</v>
      </c>
      <c r="C206" s="19" t="s">
        <v>4270</v>
      </c>
      <c r="D206" s="19" t="s">
        <v>4116</v>
      </c>
      <c r="E206" s="19" t="s">
        <v>4271</v>
      </c>
      <c r="F206" s="95">
        <v>45232</v>
      </c>
      <c r="G206" s="19" t="s">
        <v>1318</v>
      </c>
      <c r="H206" s="19" t="s">
        <v>152</v>
      </c>
      <c r="I206" s="44">
        <v>20</v>
      </c>
      <c r="J206" s="44" t="s">
        <v>4214</v>
      </c>
      <c r="K206" s="34">
        <v>1</v>
      </c>
      <c r="L206" s="5">
        <v>20</v>
      </c>
      <c r="M206" s="19" t="s">
        <v>4194</v>
      </c>
      <c r="N206" s="95" t="s">
        <v>4163</v>
      </c>
      <c r="O206" s="156">
        <v>45080</v>
      </c>
      <c r="P206" s="19" t="s">
        <v>28</v>
      </c>
      <c r="Q206" s="5" t="s">
        <v>4262</v>
      </c>
      <c r="R206" s="74" t="s">
        <v>38</v>
      </c>
      <c r="S206" s="137">
        <v>44929</v>
      </c>
    </row>
    <row r="207" spans="1:20" ht="28.8" x14ac:dyDescent="0.3">
      <c r="A207" t="s">
        <v>38</v>
      </c>
      <c r="B207" s="261" t="s">
        <v>1486</v>
      </c>
      <c r="C207" s="252" t="s">
        <v>4272</v>
      </c>
      <c r="D207" s="287">
        <v>45047</v>
      </c>
      <c r="E207" s="35">
        <v>224015043</v>
      </c>
      <c r="F207" s="287">
        <v>44927</v>
      </c>
      <c r="G207" s="252" t="s">
        <v>1355</v>
      </c>
      <c r="H207" s="252" t="s">
        <v>4258</v>
      </c>
      <c r="I207" s="319">
        <v>239.74</v>
      </c>
      <c r="J207" s="283" t="s">
        <v>4237</v>
      </c>
      <c r="K207" s="297">
        <v>10</v>
      </c>
      <c r="L207" s="283">
        <v>20</v>
      </c>
      <c r="M207" s="252" t="s">
        <v>4234</v>
      </c>
      <c r="N207" s="287">
        <v>44929</v>
      </c>
      <c r="O207" s="300" t="s">
        <v>4273</v>
      </c>
      <c r="P207" s="252" t="s">
        <v>4274</v>
      </c>
      <c r="Q207" s="2" t="s">
        <v>4262</v>
      </c>
      <c r="R207" s="74" t="s">
        <v>38</v>
      </c>
      <c r="S207" s="137">
        <v>44960</v>
      </c>
      <c r="T207" t="s">
        <v>4275</v>
      </c>
    </row>
    <row r="208" spans="1:20" ht="28.8" x14ac:dyDescent="0.3">
      <c r="A208" t="s">
        <v>60</v>
      </c>
      <c r="B208" s="316" t="s">
        <v>1314</v>
      </c>
      <c r="C208" s="29" t="s">
        <v>4276</v>
      </c>
      <c r="D208" s="45" t="s">
        <v>4277</v>
      </c>
      <c r="E208" s="252" t="s">
        <v>4278</v>
      </c>
      <c r="F208" s="287">
        <v>45232</v>
      </c>
      <c r="G208" s="252" t="s">
        <v>1318</v>
      </c>
      <c r="H208" s="7" t="s">
        <v>152</v>
      </c>
      <c r="I208" s="10">
        <v>20</v>
      </c>
      <c r="J208" s="252" t="s">
        <v>4214</v>
      </c>
      <c r="K208" s="252">
        <v>1</v>
      </c>
      <c r="L208" s="252">
        <v>20</v>
      </c>
      <c r="M208" s="20" t="s">
        <v>4194</v>
      </c>
      <c r="N208" s="287" t="s">
        <v>4262</v>
      </c>
      <c r="O208" s="286">
        <v>45049</v>
      </c>
      <c r="P208" s="252" t="s">
        <v>28</v>
      </c>
      <c r="Q208" s="252" t="s">
        <v>4163</v>
      </c>
      <c r="R208" s="74" t="s">
        <v>191</v>
      </c>
      <c r="S208" s="137">
        <v>44988</v>
      </c>
    </row>
    <row r="209" spans="1:20" x14ac:dyDescent="0.3">
      <c r="A209" t="s">
        <v>123</v>
      </c>
      <c r="B209" s="123" t="s">
        <v>124</v>
      </c>
      <c r="C209" s="219" t="s">
        <v>4279</v>
      </c>
      <c r="D209" s="219" t="s">
        <v>4280</v>
      </c>
      <c r="E209" s="19">
        <v>2223</v>
      </c>
      <c r="F209" s="2"/>
      <c r="G209" s="2" t="s">
        <v>645</v>
      </c>
      <c r="H209" s="67" t="s">
        <v>4281</v>
      </c>
      <c r="I209" s="241">
        <v>30</v>
      </c>
      <c r="J209" s="2"/>
      <c r="K209" s="2">
        <v>1</v>
      </c>
      <c r="L209" s="2"/>
      <c r="M209" s="2"/>
      <c r="N209" s="2" t="s">
        <v>4163</v>
      </c>
      <c r="O209" s="2"/>
      <c r="P209" s="2" t="s">
        <v>28</v>
      </c>
      <c r="Q209" s="2" t="s">
        <v>4163</v>
      </c>
      <c r="R209" s="74" t="s">
        <v>123</v>
      </c>
      <c r="S209" s="137">
        <v>44988</v>
      </c>
    </row>
    <row r="210" spans="1:20" x14ac:dyDescent="0.3">
      <c r="A210" t="s">
        <v>123</v>
      </c>
      <c r="B210" s="227" t="s">
        <v>384</v>
      </c>
      <c r="C210" s="219" t="s">
        <v>4282</v>
      </c>
      <c r="D210" s="219" t="s">
        <v>4283</v>
      </c>
      <c r="E210" s="2" t="s">
        <v>4284</v>
      </c>
      <c r="F210" s="2"/>
      <c r="G210" s="2" t="s">
        <v>4285</v>
      </c>
      <c r="H210" s="25" t="s">
        <v>4286</v>
      </c>
      <c r="I210" s="241">
        <v>54</v>
      </c>
      <c r="J210" s="2"/>
      <c r="K210" s="2">
        <v>2</v>
      </c>
      <c r="L210" s="2"/>
      <c r="M210" s="2"/>
      <c r="N210" s="2" t="s">
        <v>4287</v>
      </c>
      <c r="O210" s="2"/>
      <c r="P210" s="2" t="s">
        <v>28</v>
      </c>
      <c r="Q210" s="2" t="s">
        <v>4163</v>
      </c>
      <c r="R210" s="74" t="s">
        <v>123</v>
      </c>
      <c r="S210" s="137">
        <v>44988</v>
      </c>
    </row>
    <row r="211" spans="1:20" x14ac:dyDescent="0.3">
      <c r="A211" t="s">
        <v>38</v>
      </c>
      <c r="B211" s="27" t="s">
        <v>1744</v>
      </c>
      <c r="C211" s="2" t="s">
        <v>4288</v>
      </c>
      <c r="D211" s="2" t="s">
        <v>4121</v>
      </c>
      <c r="E211" s="19" t="s">
        <v>4289</v>
      </c>
      <c r="F211" s="2" t="s">
        <v>4136</v>
      </c>
      <c r="G211" s="2" t="s">
        <v>3656</v>
      </c>
      <c r="H211" s="25" t="s">
        <v>137</v>
      </c>
      <c r="I211" s="2">
        <v>207.16</v>
      </c>
      <c r="J211" s="169">
        <v>44987</v>
      </c>
      <c r="K211" s="34">
        <v>10</v>
      </c>
      <c r="L211" s="5">
        <v>20</v>
      </c>
      <c r="M211" s="2" t="s">
        <v>4245</v>
      </c>
      <c r="N211" s="95" t="s">
        <v>4163</v>
      </c>
      <c r="O211" s="112">
        <v>45172</v>
      </c>
      <c r="P211" s="2" t="s">
        <v>704</v>
      </c>
      <c r="Q211" s="112">
        <v>44960</v>
      </c>
      <c r="R211" t="s">
        <v>4290</v>
      </c>
      <c r="T211" s="137">
        <v>44988</v>
      </c>
    </row>
    <row r="212" spans="1:20" ht="28.8" x14ac:dyDescent="0.3">
      <c r="A212" t="s">
        <v>38</v>
      </c>
      <c r="B212" s="27" t="s">
        <v>652</v>
      </c>
      <c r="C212" s="2" t="s">
        <v>4291</v>
      </c>
      <c r="D212" s="95">
        <v>45079</v>
      </c>
      <c r="E212" s="25" t="s">
        <v>4292</v>
      </c>
      <c r="F212" s="95">
        <v>45139</v>
      </c>
      <c r="G212" s="252" t="s">
        <v>1355</v>
      </c>
      <c r="H212" s="25" t="s">
        <v>1368</v>
      </c>
      <c r="I212" s="57">
        <v>352.5</v>
      </c>
      <c r="J212" s="169">
        <v>45140</v>
      </c>
      <c r="K212" s="34">
        <v>15</v>
      </c>
      <c r="L212" s="5">
        <v>20</v>
      </c>
      <c r="M212" s="95" t="s">
        <v>4259</v>
      </c>
      <c r="N212" s="95">
        <v>44929</v>
      </c>
      <c r="O212" s="44" t="s">
        <v>4293</v>
      </c>
      <c r="P212" s="2" t="s">
        <v>516</v>
      </c>
      <c r="Q212" s="2" t="s">
        <v>4294</v>
      </c>
      <c r="R212" t="s">
        <v>38</v>
      </c>
      <c r="S212" s="137">
        <v>45080</v>
      </c>
    </row>
    <row r="213" spans="1:20" ht="28.8" x14ac:dyDescent="0.3">
      <c r="A213" t="s">
        <v>38</v>
      </c>
      <c r="B213" s="27" t="s">
        <v>652</v>
      </c>
      <c r="C213" s="2" t="s">
        <v>4291</v>
      </c>
      <c r="D213" s="95">
        <v>45079</v>
      </c>
      <c r="E213" s="25" t="s">
        <v>4295</v>
      </c>
      <c r="F213" s="95">
        <v>45139</v>
      </c>
      <c r="G213" s="252" t="s">
        <v>1355</v>
      </c>
      <c r="H213" s="25" t="s">
        <v>1368</v>
      </c>
      <c r="I213" s="57">
        <v>352.5</v>
      </c>
      <c r="J213" s="169">
        <v>45140</v>
      </c>
      <c r="K213" s="34">
        <v>15</v>
      </c>
      <c r="L213" s="5">
        <v>20</v>
      </c>
      <c r="M213" s="95" t="s">
        <v>4259</v>
      </c>
      <c r="N213" s="95" t="s">
        <v>4163</v>
      </c>
      <c r="O213" s="44" t="s">
        <v>4296</v>
      </c>
      <c r="P213" s="2" t="s">
        <v>516</v>
      </c>
      <c r="Q213" s="2" t="s">
        <v>4294</v>
      </c>
      <c r="R213" t="s">
        <v>38</v>
      </c>
      <c r="S213" s="137">
        <v>45080</v>
      </c>
    </row>
    <row r="214" spans="1:20" x14ac:dyDescent="0.3">
      <c r="A214" t="s">
        <v>123</v>
      </c>
      <c r="B214" s="227" t="s">
        <v>384</v>
      </c>
      <c r="C214" s="324" t="s">
        <v>4297</v>
      </c>
      <c r="D214" s="2"/>
      <c r="E214" s="262" t="s">
        <v>4298</v>
      </c>
      <c r="F214" s="2"/>
      <c r="G214" s="2"/>
      <c r="H214" s="67" t="s">
        <v>4299</v>
      </c>
      <c r="I214" s="241">
        <v>27</v>
      </c>
      <c r="J214" s="2"/>
      <c r="K214" s="2">
        <v>1</v>
      </c>
      <c r="L214" s="2"/>
      <c r="M214" s="2"/>
      <c r="N214" s="112">
        <v>45110</v>
      </c>
      <c r="O214" s="2"/>
      <c r="P214" s="2" t="s">
        <v>28</v>
      </c>
      <c r="Q214" s="112">
        <v>44988</v>
      </c>
      <c r="R214" t="s">
        <v>123</v>
      </c>
      <c r="S214" s="137">
        <v>45172</v>
      </c>
    </row>
    <row r="215" spans="1:20" ht="15.6" x14ac:dyDescent="0.3">
      <c r="A215" t="s">
        <v>55</v>
      </c>
      <c r="B215" s="27" t="s">
        <v>652</v>
      </c>
      <c r="C215" s="2" t="s">
        <v>4300</v>
      </c>
      <c r="D215" s="19" t="s">
        <v>4135</v>
      </c>
      <c r="E215" s="4">
        <v>222943245</v>
      </c>
      <c r="F215" s="2" t="s">
        <v>3977</v>
      </c>
      <c r="G215" s="305" t="s">
        <v>4301</v>
      </c>
      <c r="H215" s="25" t="s">
        <v>4302</v>
      </c>
      <c r="I215" s="30">
        <v>277.52</v>
      </c>
      <c r="J215" s="5" t="s">
        <v>4207</v>
      </c>
      <c r="K215" s="34">
        <v>12</v>
      </c>
      <c r="L215" s="5">
        <v>40</v>
      </c>
      <c r="M215" s="2" t="s">
        <v>4262</v>
      </c>
      <c r="N215" s="95">
        <v>45049</v>
      </c>
      <c r="O215" s="44" t="s">
        <v>4303</v>
      </c>
      <c r="P215" s="2" t="s">
        <v>4304</v>
      </c>
      <c r="Q215" s="2" t="s">
        <v>4207</v>
      </c>
      <c r="R215" t="s">
        <v>38</v>
      </c>
      <c r="S215" t="s">
        <v>4305</v>
      </c>
    </row>
    <row r="216" spans="1:20" ht="15.6" x14ac:dyDescent="0.3">
      <c r="A216" t="s">
        <v>38</v>
      </c>
      <c r="B216" s="27" t="s">
        <v>130</v>
      </c>
      <c r="C216" s="311" t="s">
        <v>4306</v>
      </c>
      <c r="D216" s="19" t="s">
        <v>4017</v>
      </c>
      <c r="E216" s="4">
        <v>223105801</v>
      </c>
      <c r="F216" s="95">
        <v>44986</v>
      </c>
      <c r="G216" s="2" t="s">
        <v>4307</v>
      </c>
      <c r="H216" s="20" t="s">
        <v>87</v>
      </c>
      <c r="I216" s="20">
        <v>499.63</v>
      </c>
      <c r="J216" s="5" t="s">
        <v>4167</v>
      </c>
      <c r="K216" s="34">
        <v>20</v>
      </c>
      <c r="L216" s="5">
        <v>20</v>
      </c>
      <c r="M216" t="s">
        <v>4262</v>
      </c>
      <c r="N216" s="95">
        <v>45049</v>
      </c>
      <c r="O216" s="156" t="s">
        <v>4308</v>
      </c>
      <c r="P216" s="2" t="s">
        <v>516</v>
      </c>
      <c r="Q216" s="2" t="s">
        <v>4167</v>
      </c>
      <c r="R216" t="s">
        <v>38</v>
      </c>
      <c r="S216" t="s">
        <v>4309</v>
      </c>
    </row>
    <row r="217" spans="1:20" ht="28.8" x14ac:dyDescent="0.3">
      <c r="A217" t="s">
        <v>38</v>
      </c>
      <c r="B217" s="27" t="s">
        <v>652</v>
      </c>
      <c r="C217" s="2" t="s">
        <v>4291</v>
      </c>
      <c r="D217" s="95">
        <v>45079</v>
      </c>
      <c r="E217" s="25" t="s">
        <v>4310</v>
      </c>
      <c r="F217" s="95">
        <v>45139</v>
      </c>
      <c r="G217" s="252" t="s">
        <v>1355</v>
      </c>
      <c r="H217" s="25" t="s">
        <v>1368</v>
      </c>
      <c r="I217" s="57">
        <v>306.8</v>
      </c>
      <c r="J217" s="169">
        <v>45140</v>
      </c>
      <c r="K217" s="34">
        <v>13</v>
      </c>
      <c r="L217" s="5">
        <v>20</v>
      </c>
      <c r="M217" s="95" t="s">
        <v>4259</v>
      </c>
      <c r="N217" s="95">
        <v>45019</v>
      </c>
      <c r="O217" s="44" t="s">
        <v>4303</v>
      </c>
      <c r="P217" s="2" t="s">
        <v>516</v>
      </c>
      <c r="Q217" s="2" t="s">
        <v>4294</v>
      </c>
      <c r="R217" t="s">
        <v>1428</v>
      </c>
      <c r="S217" t="s">
        <v>4273</v>
      </c>
    </row>
    <row r="218" spans="1:20" x14ac:dyDescent="0.3">
      <c r="A218" t="s">
        <v>38</v>
      </c>
      <c r="B218" s="27" t="s">
        <v>1845</v>
      </c>
      <c r="C218" s="2" t="s">
        <v>4311</v>
      </c>
      <c r="D218" s="2" t="s">
        <v>4044</v>
      </c>
      <c r="E218" s="19">
        <v>224381220</v>
      </c>
      <c r="F218" s="2" t="s">
        <v>4147</v>
      </c>
      <c r="G218" s="2" t="s">
        <v>1414</v>
      </c>
      <c r="H218" s="2" t="s">
        <v>1346</v>
      </c>
      <c r="I218" s="2">
        <v>132.01400000000001</v>
      </c>
      <c r="J218" s="95">
        <v>45140</v>
      </c>
      <c r="K218" s="34">
        <v>5</v>
      </c>
      <c r="L218" s="5">
        <v>40</v>
      </c>
      <c r="M218" s="95" t="s">
        <v>4245</v>
      </c>
      <c r="N218" s="95">
        <v>45049</v>
      </c>
      <c r="O218" s="44" t="s">
        <v>4303</v>
      </c>
      <c r="P218" s="2" t="s">
        <v>516</v>
      </c>
      <c r="Q218" s="112">
        <v>45201</v>
      </c>
      <c r="R218" t="s">
        <v>55</v>
      </c>
      <c r="S218" t="s">
        <v>4296</v>
      </c>
    </row>
    <row r="219" spans="1:20" x14ac:dyDescent="0.3">
      <c r="A219" t="s">
        <v>38</v>
      </c>
      <c r="B219" s="27" t="s">
        <v>1845</v>
      </c>
      <c r="C219" s="2" t="s">
        <v>4311</v>
      </c>
      <c r="D219" s="2" t="s">
        <v>4044</v>
      </c>
      <c r="E219" s="19">
        <v>224239658</v>
      </c>
      <c r="F219" s="2" t="s">
        <v>4147</v>
      </c>
      <c r="G219" s="2" t="s">
        <v>1414</v>
      </c>
      <c r="H219" s="2" t="s">
        <v>1346</v>
      </c>
      <c r="I219" s="2">
        <v>281.99799999999999</v>
      </c>
      <c r="J219" s="95">
        <v>45140</v>
      </c>
      <c r="K219" s="34">
        <v>11</v>
      </c>
      <c r="L219" s="5">
        <v>40</v>
      </c>
      <c r="M219" s="95" t="s">
        <v>4245</v>
      </c>
      <c r="N219" s="95">
        <v>45110</v>
      </c>
      <c r="O219" s="44" t="s">
        <v>4312</v>
      </c>
      <c r="P219" s="2" t="s">
        <v>516</v>
      </c>
      <c r="Q219" s="112">
        <v>45201</v>
      </c>
      <c r="R219" t="s">
        <v>38</v>
      </c>
      <c r="S219" s="137" t="s">
        <v>4313</v>
      </c>
    </row>
    <row r="220" spans="1:20" ht="57.6" x14ac:dyDescent="0.3">
      <c r="A220" t="s">
        <v>60</v>
      </c>
      <c r="B220" s="261" t="s">
        <v>4314</v>
      </c>
      <c r="C220" s="4" t="s">
        <v>4315</v>
      </c>
      <c r="D220" s="252"/>
      <c r="E220" s="252" t="s">
        <v>4316</v>
      </c>
      <c r="F220" s="287">
        <v>45231</v>
      </c>
      <c r="G220" s="253" t="s">
        <v>3933</v>
      </c>
      <c r="H220" s="252" t="s">
        <v>715</v>
      </c>
      <c r="I220" s="252">
        <v>71.45</v>
      </c>
      <c r="J220" s="252" t="s">
        <v>4245</v>
      </c>
      <c r="K220" s="252">
        <v>3</v>
      </c>
      <c r="L220" s="252">
        <v>20</v>
      </c>
      <c r="M220" s="286" t="s">
        <v>4247</v>
      </c>
      <c r="N220" s="287">
        <v>45019</v>
      </c>
      <c r="O220" s="300" t="s">
        <v>4303</v>
      </c>
      <c r="P220" s="252" t="s">
        <v>28</v>
      </c>
      <c r="Q220" s="252" t="s">
        <v>4317</v>
      </c>
      <c r="R220" s="328" t="s">
        <v>350</v>
      </c>
      <c r="S220" s="328" t="s">
        <v>4318</v>
      </c>
    </row>
    <row r="221" spans="1:20" ht="55.2" x14ac:dyDescent="0.3">
      <c r="A221" t="s">
        <v>49</v>
      </c>
      <c r="B221" s="326" t="s">
        <v>166</v>
      </c>
      <c r="C221" s="219" t="s">
        <v>4319</v>
      </c>
      <c r="D221" s="112">
        <v>45079</v>
      </c>
      <c r="E221" s="2"/>
      <c r="F221" s="2" t="s">
        <v>4320</v>
      </c>
      <c r="G221" s="2" t="s">
        <v>1938</v>
      </c>
      <c r="H221" s="45" t="s">
        <v>4321</v>
      </c>
      <c r="I221" s="241">
        <v>30</v>
      </c>
      <c r="J221" s="2"/>
      <c r="K221" s="2">
        <v>1</v>
      </c>
      <c r="L221" s="2"/>
      <c r="M221" s="2"/>
      <c r="N221" s="2" t="s">
        <v>4322</v>
      </c>
      <c r="O221" s="2"/>
      <c r="P221" s="2" t="s">
        <v>28</v>
      </c>
      <c r="Q221" s="2" t="s">
        <v>4317</v>
      </c>
      <c r="R221" s="18" t="s">
        <v>49</v>
      </c>
      <c r="S221" s="18" t="s">
        <v>4323</v>
      </c>
    </row>
    <row r="222" spans="1:20" ht="57.6" x14ac:dyDescent="0.3">
      <c r="A222" t="s">
        <v>60</v>
      </c>
      <c r="B222" s="308" t="s">
        <v>4324</v>
      </c>
      <c r="C222" s="252" t="s">
        <v>4325</v>
      </c>
      <c r="D222" s="252" t="s">
        <v>4326</v>
      </c>
      <c r="E222" s="251">
        <v>223237716</v>
      </c>
      <c r="F222" s="19" t="s">
        <v>4327</v>
      </c>
      <c r="G222" s="252" t="s">
        <v>4328</v>
      </c>
      <c r="H222" s="290" t="s">
        <v>1398</v>
      </c>
      <c r="I222" s="299">
        <v>125</v>
      </c>
      <c r="J222" s="286">
        <v>45140</v>
      </c>
      <c r="K222" s="252">
        <v>5</v>
      </c>
      <c r="L222" s="252">
        <v>20</v>
      </c>
      <c r="M222" s="252" t="s">
        <v>4163</v>
      </c>
      <c r="N222" s="287">
        <v>45110</v>
      </c>
      <c r="O222" s="252" t="s">
        <v>4312</v>
      </c>
      <c r="P222" s="252" t="s">
        <v>4329</v>
      </c>
      <c r="Q222" s="252" t="s">
        <v>4323</v>
      </c>
      <c r="R222" s="282" t="s">
        <v>191</v>
      </c>
      <c r="S222" s="320" t="s">
        <v>4312</v>
      </c>
    </row>
    <row r="223" spans="1:20" ht="55.2" x14ac:dyDescent="0.3">
      <c r="A223" t="s">
        <v>123</v>
      </c>
      <c r="B223" s="326" t="s">
        <v>166</v>
      </c>
      <c r="C223" s="219" t="s">
        <v>4330</v>
      </c>
      <c r="D223" s="219" t="s">
        <v>4331</v>
      </c>
      <c r="E223" s="2"/>
      <c r="F223" s="2" t="s">
        <v>4320</v>
      </c>
      <c r="G223" s="2" t="s">
        <v>1938</v>
      </c>
      <c r="H223" s="247" t="s">
        <v>4332</v>
      </c>
      <c r="I223" s="241">
        <v>28</v>
      </c>
      <c r="J223" s="2"/>
      <c r="K223" s="2">
        <v>1</v>
      </c>
      <c r="L223" s="2"/>
      <c r="M223" s="2"/>
      <c r="N223" s="2" t="s">
        <v>4322</v>
      </c>
      <c r="O223" s="2"/>
      <c r="P223" s="2" t="s">
        <v>4333</v>
      </c>
      <c r="Q223" s="2" t="s">
        <v>4317</v>
      </c>
      <c r="R223" s="74" t="s">
        <v>123</v>
      </c>
      <c r="S223" s="74" t="s">
        <v>4334</v>
      </c>
    </row>
    <row r="224" spans="1:20" x14ac:dyDescent="0.3">
      <c r="A224" t="s">
        <v>123</v>
      </c>
      <c r="B224" s="227" t="s">
        <v>124</v>
      </c>
      <c r="C224" s="219" t="s">
        <v>4335</v>
      </c>
      <c r="D224" s="219"/>
      <c r="E224" s="262">
        <v>2033</v>
      </c>
      <c r="F224" s="2" t="s">
        <v>3604</v>
      </c>
      <c r="G224" s="219" t="s">
        <v>1938</v>
      </c>
      <c r="H224" s="67" t="s">
        <v>1892</v>
      </c>
      <c r="I224" s="241">
        <v>30</v>
      </c>
      <c r="J224" s="2"/>
      <c r="K224" s="2">
        <v>1</v>
      </c>
      <c r="L224" s="2"/>
      <c r="M224" s="2"/>
      <c r="N224" s="95">
        <v>45233</v>
      </c>
      <c r="O224" s="2"/>
      <c r="P224" s="2" t="s">
        <v>28</v>
      </c>
      <c r="Q224" s="2" t="s">
        <v>4336</v>
      </c>
      <c r="R224" s="282" t="s">
        <v>123</v>
      </c>
      <c r="S224" s="74" t="s">
        <v>4334</v>
      </c>
    </row>
    <row r="225" spans="1:19" x14ac:dyDescent="0.3">
      <c r="A225" t="s">
        <v>38</v>
      </c>
      <c r="B225" s="27" t="s">
        <v>1845</v>
      </c>
      <c r="C225" s="2" t="s">
        <v>4311</v>
      </c>
      <c r="D225" s="2" t="s">
        <v>4044</v>
      </c>
      <c r="E225" s="19">
        <v>224311864</v>
      </c>
      <c r="F225" s="19" t="s">
        <v>4130</v>
      </c>
      <c r="G225" s="2" t="s">
        <v>1414</v>
      </c>
      <c r="H225" s="2" t="s">
        <v>1346</v>
      </c>
      <c r="I225" s="2">
        <v>114.80500000000001</v>
      </c>
      <c r="J225" s="95">
        <v>45109</v>
      </c>
      <c r="K225" s="34">
        <v>5</v>
      </c>
      <c r="L225" s="5">
        <v>20</v>
      </c>
      <c r="M225" s="95">
        <v>44929</v>
      </c>
      <c r="N225" s="2" t="s">
        <v>4312</v>
      </c>
      <c r="O225" s="95">
        <v>44961</v>
      </c>
      <c r="P225" s="2" t="s">
        <v>516</v>
      </c>
      <c r="Q225" s="44" t="s">
        <v>4214</v>
      </c>
      <c r="R225" t="s">
        <v>38</v>
      </c>
      <c r="S225" t="s">
        <v>4337</v>
      </c>
    </row>
    <row r="226" spans="1:19" ht="41.4" x14ac:dyDescent="0.3">
      <c r="A226" t="s">
        <v>123</v>
      </c>
      <c r="B226" s="326" t="s">
        <v>812</v>
      </c>
      <c r="C226" s="219" t="s">
        <v>4338</v>
      </c>
      <c r="D226" s="219" t="s">
        <v>4283</v>
      </c>
      <c r="E226" s="266" t="s">
        <v>4339</v>
      </c>
      <c r="F226" s="2" t="s">
        <v>4194</v>
      </c>
      <c r="G226" s="2" t="s">
        <v>20</v>
      </c>
      <c r="H226" s="2" t="s">
        <v>4340</v>
      </c>
      <c r="I226" s="241">
        <v>32</v>
      </c>
      <c r="J226" s="2"/>
      <c r="K226" s="2">
        <v>2</v>
      </c>
      <c r="L226" s="2">
        <v>20</v>
      </c>
      <c r="M226" s="95">
        <v>45080</v>
      </c>
      <c r="N226" s="2" t="s">
        <v>4341</v>
      </c>
      <c r="O226" s="2" t="s">
        <v>4342</v>
      </c>
      <c r="P226" s="2" t="s">
        <v>4343</v>
      </c>
      <c r="Q226" s="112">
        <v>45141</v>
      </c>
      <c r="R226" s="282" t="s">
        <v>123</v>
      </c>
      <c r="S226" s="74" t="s">
        <v>4337</v>
      </c>
    </row>
    <row r="227" spans="1:19" ht="55.8" thickBot="1" x14ac:dyDescent="0.35">
      <c r="A227" t="s">
        <v>123</v>
      </c>
      <c r="B227" s="326" t="s">
        <v>166</v>
      </c>
      <c r="C227" s="219" t="s">
        <v>4319</v>
      </c>
      <c r="D227" s="112">
        <v>45079</v>
      </c>
      <c r="E227" s="329" t="s">
        <v>4344</v>
      </c>
      <c r="F227" s="2" t="s">
        <v>4320</v>
      </c>
      <c r="G227" s="2" t="s">
        <v>1938</v>
      </c>
      <c r="H227" s="45" t="s">
        <v>4321</v>
      </c>
      <c r="I227" s="241">
        <v>30</v>
      </c>
      <c r="J227" s="2"/>
      <c r="K227" s="2">
        <v>1</v>
      </c>
      <c r="L227" s="2"/>
      <c r="M227" s="2" t="s">
        <v>4312</v>
      </c>
      <c r="N227" s="2" t="s">
        <v>4334</v>
      </c>
      <c r="O227" s="2"/>
      <c r="P227" s="2" t="s">
        <v>4345</v>
      </c>
      <c r="Q227" s="2" t="s">
        <v>4334</v>
      </c>
      <c r="R227" s="18" t="s">
        <v>123</v>
      </c>
      <c r="S227" s="18" t="s">
        <v>4337</v>
      </c>
    </row>
    <row r="228" spans="1:19" ht="57.6" x14ac:dyDescent="0.3">
      <c r="A228" t="s">
        <v>60</v>
      </c>
      <c r="B228" s="261" t="s">
        <v>4241</v>
      </c>
      <c r="C228" s="252" t="s">
        <v>4242</v>
      </c>
      <c r="D228" s="252" t="s">
        <v>4059</v>
      </c>
      <c r="E228" s="35" t="s">
        <v>4346</v>
      </c>
      <c r="F228" s="252" t="s">
        <v>4011</v>
      </c>
      <c r="G228" s="252" t="s">
        <v>1421</v>
      </c>
      <c r="H228" s="252" t="s">
        <v>118</v>
      </c>
      <c r="I228" s="252">
        <v>241.08</v>
      </c>
      <c r="J228" s="286">
        <v>45049</v>
      </c>
      <c r="K228" s="252">
        <v>11</v>
      </c>
      <c r="L228" s="252">
        <v>20</v>
      </c>
      <c r="M228" s="286">
        <v>45110</v>
      </c>
      <c r="N228" s="287" t="s">
        <v>4273</v>
      </c>
      <c r="O228" s="252" t="s">
        <v>4347</v>
      </c>
      <c r="P228" s="252" t="s">
        <v>28</v>
      </c>
      <c r="Q228" s="252" t="s">
        <v>4341</v>
      </c>
      <c r="R228" s="282" t="s">
        <v>1428</v>
      </c>
      <c r="S228" s="282" t="s">
        <v>4348</v>
      </c>
    </row>
    <row r="229" spans="1:19" x14ac:dyDescent="0.3">
      <c r="A229" t="s">
        <v>38</v>
      </c>
      <c r="B229" s="27" t="s">
        <v>1411</v>
      </c>
      <c r="C229" s="19" t="s">
        <v>4349</v>
      </c>
      <c r="D229" s="19" t="s">
        <v>4214</v>
      </c>
      <c r="E229" s="19">
        <v>224311771</v>
      </c>
      <c r="F229" s="19" t="s">
        <v>4130</v>
      </c>
      <c r="G229" s="2" t="s">
        <v>1414</v>
      </c>
      <c r="H229" s="25" t="s">
        <v>3697</v>
      </c>
      <c r="I229" s="57">
        <v>462.029</v>
      </c>
      <c r="J229" s="95">
        <v>45202</v>
      </c>
      <c r="K229" s="34">
        <v>18</v>
      </c>
      <c r="L229" s="5">
        <v>40</v>
      </c>
      <c r="M229" s="95">
        <v>45141</v>
      </c>
      <c r="N229" s="2" t="s">
        <v>4303</v>
      </c>
      <c r="O229" s="2" t="s">
        <v>4347</v>
      </c>
      <c r="P229" s="2" t="s">
        <v>121</v>
      </c>
      <c r="Q229" s="2" t="s">
        <v>4350</v>
      </c>
      <c r="R229" t="s">
        <v>4351</v>
      </c>
    </row>
    <row r="230" spans="1:19" x14ac:dyDescent="0.3">
      <c r="A230" t="s">
        <v>38</v>
      </c>
      <c r="B230" s="27" t="s">
        <v>700</v>
      </c>
      <c r="C230" s="19" t="s">
        <v>4349</v>
      </c>
      <c r="D230" s="19" t="s">
        <v>4214</v>
      </c>
      <c r="E230" s="19">
        <v>224311881</v>
      </c>
      <c r="F230" s="19" t="s">
        <v>4251</v>
      </c>
      <c r="G230" s="2" t="s">
        <v>1414</v>
      </c>
      <c r="H230" s="25" t="s">
        <v>1368</v>
      </c>
      <c r="I230" s="57">
        <v>115.086</v>
      </c>
      <c r="J230" s="95">
        <v>44960</v>
      </c>
      <c r="K230" s="34">
        <v>5</v>
      </c>
      <c r="L230" s="5">
        <v>20</v>
      </c>
      <c r="M230" s="95">
        <v>45141</v>
      </c>
      <c r="N230" s="2" t="s">
        <v>4312</v>
      </c>
      <c r="O230" s="95">
        <v>44961</v>
      </c>
      <c r="P230" s="2" t="s">
        <v>121</v>
      </c>
      <c r="Q230" s="2" t="s">
        <v>4350</v>
      </c>
      <c r="R230" t="s">
        <v>38</v>
      </c>
      <c r="S230" t="s">
        <v>4352</v>
      </c>
    </row>
    <row r="231" spans="1:19" x14ac:dyDescent="0.3">
      <c r="A231" t="s">
        <v>38</v>
      </c>
      <c r="B231" s="316" t="s">
        <v>1433</v>
      </c>
      <c r="C231" s="2" t="s">
        <v>4353</v>
      </c>
      <c r="D231" s="2" t="s">
        <v>4131</v>
      </c>
      <c r="E231" s="323">
        <v>224850979</v>
      </c>
      <c r="F231" s="95">
        <v>45171</v>
      </c>
      <c r="G231" s="2" t="s">
        <v>1435</v>
      </c>
      <c r="H231" s="7" t="s">
        <v>102</v>
      </c>
      <c r="I231" s="10">
        <v>18</v>
      </c>
      <c r="J231" s="95">
        <v>45049</v>
      </c>
      <c r="K231" s="5">
        <v>1</v>
      </c>
      <c r="L231" s="5">
        <v>20</v>
      </c>
      <c r="M231" s="2" t="s">
        <v>4296</v>
      </c>
      <c r="N231" s="2" t="s">
        <v>4354</v>
      </c>
      <c r="O231" s="95">
        <v>44989</v>
      </c>
      <c r="P231" s="3" t="s">
        <v>28</v>
      </c>
      <c r="Q231" s="112">
        <v>45049</v>
      </c>
      <c r="R231" s="18" t="s">
        <v>38</v>
      </c>
      <c r="S231" s="18" t="s">
        <v>4352</v>
      </c>
    </row>
    <row r="232" spans="1:19" x14ac:dyDescent="0.3">
      <c r="A232" t="s">
        <v>123</v>
      </c>
      <c r="B232" s="227" t="s">
        <v>384</v>
      </c>
      <c r="C232" s="219" t="s">
        <v>4355</v>
      </c>
      <c r="D232" s="219" t="s">
        <v>4356</v>
      </c>
      <c r="E232" s="2" t="s">
        <v>4285</v>
      </c>
      <c r="F232" s="2"/>
      <c r="G232" s="2" t="s">
        <v>1323</v>
      </c>
      <c r="H232" s="67" t="s">
        <v>4357</v>
      </c>
      <c r="I232" s="241">
        <v>27</v>
      </c>
      <c r="J232" s="2"/>
      <c r="K232" s="2">
        <v>1</v>
      </c>
      <c r="L232" s="2"/>
      <c r="M232" s="2" t="s">
        <v>4337</v>
      </c>
      <c r="N232" s="2" t="s">
        <v>4350</v>
      </c>
      <c r="O232" s="2" t="s">
        <v>4358</v>
      </c>
      <c r="P232" s="2" t="s">
        <v>4359</v>
      </c>
      <c r="Q232" s="2" t="s">
        <v>4342</v>
      </c>
      <c r="R232" s="74" t="s">
        <v>123</v>
      </c>
      <c r="S232" s="74" t="s">
        <v>4352</v>
      </c>
    </row>
    <row r="233" spans="1:19" x14ac:dyDescent="0.3">
      <c r="A233" t="s">
        <v>38</v>
      </c>
      <c r="B233" s="36" t="s">
        <v>1418</v>
      </c>
      <c r="C233" s="20" t="s">
        <v>4360</v>
      </c>
      <c r="D233" s="95">
        <v>44958</v>
      </c>
      <c r="E233" s="19">
        <v>224015567</v>
      </c>
      <c r="F233" s="2" t="s">
        <v>4150</v>
      </c>
      <c r="G233" s="2" t="s">
        <v>1693</v>
      </c>
      <c r="H233" s="25" t="s">
        <v>1422</v>
      </c>
      <c r="I233" s="318">
        <v>312.41699999999997</v>
      </c>
      <c r="J233" s="169">
        <v>45202</v>
      </c>
      <c r="K233" s="34">
        <v>13</v>
      </c>
      <c r="L233" s="5">
        <v>20</v>
      </c>
      <c r="M233" s="95">
        <v>45110</v>
      </c>
      <c r="N233" s="2" t="s">
        <v>4322</v>
      </c>
      <c r="O233" s="2" t="s">
        <v>4361</v>
      </c>
      <c r="P233" s="2" t="s">
        <v>28</v>
      </c>
      <c r="Q233" s="44" t="s">
        <v>4362</v>
      </c>
      <c r="R233" t="s">
        <v>38</v>
      </c>
      <c r="S233" s="137" t="s">
        <v>4352</v>
      </c>
    </row>
    <row r="234" spans="1:19" x14ac:dyDescent="0.3">
      <c r="A234" t="s">
        <v>38</v>
      </c>
      <c r="B234" s="27" t="s">
        <v>934</v>
      </c>
      <c r="C234" s="2" t="s">
        <v>4363</v>
      </c>
      <c r="D234" s="2" t="s">
        <v>4176</v>
      </c>
      <c r="E234" s="19">
        <v>224515187</v>
      </c>
      <c r="F234" s="2" t="s">
        <v>4251</v>
      </c>
      <c r="G234" s="2" t="s">
        <v>4364</v>
      </c>
      <c r="H234" s="25" t="s">
        <v>205</v>
      </c>
      <c r="I234" s="2">
        <v>50</v>
      </c>
      <c r="J234" s="169">
        <v>45262</v>
      </c>
      <c r="K234" s="34">
        <v>2</v>
      </c>
      <c r="L234" s="5">
        <v>20</v>
      </c>
      <c r="M234" s="95">
        <v>45110</v>
      </c>
      <c r="N234" s="2" t="s">
        <v>4312</v>
      </c>
      <c r="O234" s="95">
        <v>44961</v>
      </c>
      <c r="P234" s="2" t="s">
        <v>28</v>
      </c>
      <c r="Q234" s="112">
        <v>45080</v>
      </c>
      <c r="R234" t="s">
        <v>38</v>
      </c>
      <c r="S234" t="s">
        <v>4352</v>
      </c>
    </row>
    <row r="235" spans="1:19" x14ac:dyDescent="0.3">
      <c r="A235" t="s">
        <v>38</v>
      </c>
      <c r="B235" s="27" t="s">
        <v>4365</v>
      </c>
      <c r="C235" s="2" t="s">
        <v>4366</v>
      </c>
      <c r="D235" s="2" t="s">
        <v>4125</v>
      </c>
      <c r="E235" s="19">
        <v>453602194</v>
      </c>
      <c r="F235" s="2" t="s">
        <v>4303</v>
      </c>
      <c r="G235" s="2" t="s">
        <v>4367</v>
      </c>
      <c r="H235" s="25" t="s">
        <v>4368</v>
      </c>
      <c r="I235" s="111">
        <v>15</v>
      </c>
      <c r="J235" s="2" t="s">
        <v>4337</v>
      </c>
      <c r="K235" s="5">
        <v>1</v>
      </c>
      <c r="L235" s="2"/>
      <c r="M235" s="95" t="s">
        <v>4358</v>
      </c>
      <c r="N235" s="2" t="s">
        <v>4348</v>
      </c>
      <c r="O235" s="2"/>
      <c r="P235" s="2" t="s">
        <v>28</v>
      </c>
      <c r="Q235" s="2" t="s">
        <v>4358</v>
      </c>
      <c r="R235" s="18" t="s">
        <v>38</v>
      </c>
      <c r="S235" s="18" t="s">
        <v>1343</v>
      </c>
    </row>
    <row r="236" spans="1:19" x14ac:dyDescent="0.3">
      <c r="A236" t="s">
        <v>60</v>
      </c>
      <c r="B236" s="331" t="s">
        <v>3086</v>
      </c>
      <c r="C236" s="330" t="s">
        <v>4369</v>
      </c>
      <c r="D236" s="19" t="s">
        <v>4370</v>
      </c>
      <c r="E236" s="252"/>
      <c r="F236" s="252"/>
      <c r="G236" s="252"/>
      <c r="H236" s="19" t="s">
        <v>4371</v>
      </c>
      <c r="I236" s="5">
        <v>700</v>
      </c>
      <c r="J236" s="252"/>
      <c r="K236" s="252"/>
      <c r="L236" s="252"/>
      <c r="M236" s="252"/>
      <c r="N236" s="252" t="s">
        <v>4342</v>
      </c>
      <c r="O236" s="252"/>
      <c r="P236" s="252" t="s">
        <v>28</v>
      </c>
      <c r="Q236" s="252" t="s">
        <v>4372</v>
      </c>
      <c r="R236" s="74" t="s">
        <v>529</v>
      </c>
      <c r="S236" s="137">
        <v>44961</v>
      </c>
    </row>
    <row r="237" spans="1:19" x14ac:dyDescent="0.3">
      <c r="A237" t="s">
        <v>529</v>
      </c>
      <c r="B237" s="331" t="s">
        <v>3086</v>
      </c>
      <c r="C237" s="2" t="s">
        <v>4373</v>
      </c>
      <c r="D237" s="19" t="s">
        <v>4374</v>
      </c>
      <c r="E237" s="252"/>
      <c r="F237" s="252"/>
      <c r="G237" s="252"/>
      <c r="H237" s="19" t="s">
        <v>4371</v>
      </c>
      <c r="I237" s="5">
        <v>1800</v>
      </c>
      <c r="J237" s="252"/>
      <c r="K237" s="252"/>
      <c r="L237" s="252"/>
      <c r="M237" s="252"/>
      <c r="N237" s="252" t="s">
        <v>4342</v>
      </c>
      <c r="O237" s="252"/>
      <c r="P237" s="252" t="s">
        <v>28</v>
      </c>
      <c r="Q237" s="252" t="s">
        <v>1343</v>
      </c>
      <c r="R237" s="74" t="s">
        <v>60</v>
      </c>
      <c r="S237" s="137">
        <v>44961</v>
      </c>
    </row>
    <row r="238" spans="1:19" x14ac:dyDescent="0.3">
      <c r="A238" t="s">
        <v>123</v>
      </c>
      <c r="B238" s="227" t="s">
        <v>4375</v>
      </c>
      <c r="C238" s="219" t="s">
        <v>4376</v>
      </c>
      <c r="D238" s="2" t="s">
        <v>1784</v>
      </c>
      <c r="E238" s="262">
        <v>223524145</v>
      </c>
      <c r="F238" s="95">
        <v>45108</v>
      </c>
      <c r="G238" s="2" t="s">
        <v>4377</v>
      </c>
      <c r="H238" s="67" t="s">
        <v>760</v>
      </c>
      <c r="I238" s="2">
        <v>25</v>
      </c>
      <c r="J238" s="2"/>
      <c r="K238" s="2">
        <v>1</v>
      </c>
      <c r="L238" s="2">
        <v>20</v>
      </c>
      <c r="M238" s="95">
        <v>45110</v>
      </c>
      <c r="N238" s="2" t="s">
        <v>4303</v>
      </c>
      <c r="O238" s="2" t="s">
        <v>4347</v>
      </c>
      <c r="P238" s="2" t="s">
        <v>4378</v>
      </c>
      <c r="Q238" s="2" t="s">
        <v>4350</v>
      </c>
      <c r="R238" s="18" t="s">
        <v>287</v>
      </c>
      <c r="S238" s="18" t="s">
        <v>4361</v>
      </c>
    </row>
    <row r="239" spans="1:19" x14ac:dyDescent="0.3">
      <c r="A239" t="s">
        <v>123</v>
      </c>
      <c r="B239" s="227" t="s">
        <v>384</v>
      </c>
      <c r="C239" s="219" t="s">
        <v>4355</v>
      </c>
      <c r="D239" s="219" t="s">
        <v>4356</v>
      </c>
      <c r="E239" s="219" t="s">
        <v>4379</v>
      </c>
      <c r="F239" s="2"/>
      <c r="G239" s="2" t="s">
        <v>1323</v>
      </c>
      <c r="H239" s="2" t="s">
        <v>1324</v>
      </c>
      <c r="I239" s="241">
        <v>27</v>
      </c>
      <c r="J239" s="2"/>
      <c r="K239" s="2">
        <v>1</v>
      </c>
      <c r="L239" s="2"/>
      <c r="M239" s="2" t="s">
        <v>4361</v>
      </c>
      <c r="N239" s="2" t="s">
        <v>4380</v>
      </c>
      <c r="O239" s="2">
        <v>2</v>
      </c>
      <c r="P239" s="219" t="s">
        <v>4381</v>
      </c>
      <c r="Q239" s="2" t="s">
        <v>4361</v>
      </c>
      <c r="R239" s="74" t="s">
        <v>1575</v>
      </c>
      <c r="S239" s="74" t="s">
        <v>4380</v>
      </c>
    </row>
    <row r="240" spans="1:19" x14ac:dyDescent="0.3">
      <c r="A240" t="s">
        <v>60</v>
      </c>
      <c r="B240" s="332" t="s">
        <v>4382</v>
      </c>
      <c r="C240" s="45" t="s">
        <v>4383</v>
      </c>
      <c r="D240" s="19" t="s">
        <v>4384</v>
      </c>
      <c r="E240" s="252"/>
      <c r="F240" s="252"/>
      <c r="G240" s="252"/>
      <c r="H240" s="19" t="s">
        <v>4385</v>
      </c>
      <c r="I240" s="5">
        <v>19360</v>
      </c>
      <c r="J240" s="252"/>
      <c r="K240" s="252"/>
      <c r="L240" s="252"/>
      <c r="M240" s="252" t="s">
        <v>1343</v>
      </c>
      <c r="N240" s="251" t="s">
        <v>4361</v>
      </c>
      <c r="O240" s="252"/>
      <c r="P240" s="252" t="s">
        <v>28</v>
      </c>
      <c r="Q240" s="252" t="s">
        <v>4361</v>
      </c>
      <c r="R240" s="74" t="s">
        <v>191</v>
      </c>
      <c r="S240" s="303" t="s">
        <v>4347</v>
      </c>
    </row>
    <row r="241" spans="1:19" x14ac:dyDescent="0.3">
      <c r="A241" t="s">
        <v>123</v>
      </c>
      <c r="B241" s="227" t="s">
        <v>4386</v>
      </c>
      <c r="C241" s="219" t="s">
        <v>4387</v>
      </c>
      <c r="D241" s="219" t="s">
        <v>4280</v>
      </c>
      <c r="E241" s="262">
        <v>7500026388</v>
      </c>
      <c r="F241" s="219" t="s">
        <v>4388</v>
      </c>
      <c r="G241" s="219" t="s">
        <v>1938</v>
      </c>
      <c r="H241" s="67" t="s">
        <v>4389</v>
      </c>
      <c r="I241" s="241">
        <v>3000</v>
      </c>
      <c r="J241" s="2"/>
      <c r="K241" s="2">
        <v>1</v>
      </c>
      <c r="L241" s="2"/>
      <c r="M241" s="2"/>
      <c r="N241" s="95">
        <v>45263</v>
      </c>
      <c r="O241" s="2"/>
      <c r="P241" s="2" t="s">
        <v>28</v>
      </c>
      <c r="Q241" s="2" t="s">
        <v>4352</v>
      </c>
      <c r="R241" t="s">
        <v>123</v>
      </c>
      <c r="S241" t="s">
        <v>4380</v>
      </c>
    </row>
    <row r="242" spans="1:19" ht="28.8" x14ac:dyDescent="0.3">
      <c r="A242" t="s">
        <v>60</v>
      </c>
      <c r="B242" s="316" t="s">
        <v>1433</v>
      </c>
      <c r="C242" s="4" t="s">
        <v>4390</v>
      </c>
      <c r="D242" s="252" t="s">
        <v>4131</v>
      </c>
      <c r="E242" s="251">
        <v>224967373</v>
      </c>
      <c r="F242" s="252" t="s">
        <v>4234</v>
      </c>
      <c r="G242" s="252" t="s">
        <v>4391</v>
      </c>
      <c r="H242" s="7" t="s">
        <v>1436</v>
      </c>
      <c r="I242" s="10">
        <v>18</v>
      </c>
      <c r="J242" s="252" t="s">
        <v>4251</v>
      </c>
      <c r="K242" s="252">
        <v>1</v>
      </c>
      <c r="L242" s="252">
        <v>20</v>
      </c>
      <c r="M242" s="20" t="s">
        <v>4296</v>
      </c>
      <c r="N242" s="251" t="s">
        <v>4358</v>
      </c>
      <c r="O242" s="286">
        <v>45050</v>
      </c>
      <c r="P242" s="252" t="s">
        <v>516</v>
      </c>
      <c r="Q242" s="252" t="s">
        <v>4341</v>
      </c>
      <c r="R242" s="282" t="s">
        <v>191</v>
      </c>
      <c r="S242" s="320">
        <v>44961</v>
      </c>
    </row>
    <row r="243" spans="1:19" ht="57.6" x14ac:dyDescent="0.4">
      <c r="A243" t="s">
        <v>60</v>
      </c>
      <c r="B243" s="261" t="s">
        <v>2686</v>
      </c>
      <c r="C243" s="252" t="s">
        <v>4392</v>
      </c>
      <c r="D243" s="252" t="s">
        <v>4131</v>
      </c>
      <c r="E243" s="251">
        <v>225136713</v>
      </c>
      <c r="F243" s="252" t="s">
        <v>4237</v>
      </c>
      <c r="G243" s="252" t="s">
        <v>4212</v>
      </c>
      <c r="H243" s="252" t="s">
        <v>4174</v>
      </c>
      <c r="I243" s="322">
        <v>176.7</v>
      </c>
      <c r="J243" s="252" t="s">
        <v>4259</v>
      </c>
      <c r="K243" s="252">
        <v>7</v>
      </c>
      <c r="L243" s="252">
        <v>20</v>
      </c>
      <c r="M243" s="286" t="s">
        <v>4323</v>
      </c>
      <c r="N243" s="286" t="s">
        <v>4352</v>
      </c>
      <c r="O243" s="286">
        <v>45173</v>
      </c>
      <c r="P243" s="252" t="s">
        <v>28</v>
      </c>
      <c r="Q243" s="327" t="s">
        <v>1343</v>
      </c>
      <c r="R243" s="282" t="s">
        <v>191</v>
      </c>
      <c r="S243" s="320">
        <v>44989</v>
      </c>
    </row>
    <row r="244" spans="1:19" ht="28.8" x14ac:dyDescent="0.3">
      <c r="A244" t="s">
        <v>60</v>
      </c>
      <c r="B244" s="316" t="s">
        <v>1433</v>
      </c>
      <c r="C244" s="4" t="s">
        <v>4393</v>
      </c>
      <c r="D244" s="252" t="s">
        <v>1784</v>
      </c>
      <c r="E244" s="6">
        <v>224850925</v>
      </c>
      <c r="F244" s="287">
        <v>45171</v>
      </c>
      <c r="G244" s="252" t="s">
        <v>4391</v>
      </c>
      <c r="H244" s="7" t="s">
        <v>102</v>
      </c>
      <c r="I244" s="10">
        <v>18</v>
      </c>
      <c r="J244" s="286">
        <v>44929</v>
      </c>
      <c r="K244" s="300">
        <v>1</v>
      </c>
      <c r="L244" s="300">
        <v>20</v>
      </c>
      <c r="M244" s="252" t="s">
        <v>4296</v>
      </c>
      <c r="N244" s="251" t="s">
        <v>4358</v>
      </c>
      <c r="O244" s="286">
        <v>45050</v>
      </c>
      <c r="P244" s="252" t="s">
        <v>3601</v>
      </c>
      <c r="Q244" s="252" t="s">
        <v>4341</v>
      </c>
      <c r="R244" s="282" t="s">
        <v>38</v>
      </c>
      <c r="S244" s="320">
        <v>44989</v>
      </c>
    </row>
    <row r="245" spans="1:19" x14ac:dyDescent="0.3">
      <c r="A245" t="s">
        <v>38</v>
      </c>
      <c r="B245" s="27" t="s">
        <v>652</v>
      </c>
      <c r="C245" s="2" t="s">
        <v>4394</v>
      </c>
      <c r="D245" s="95">
        <v>44958</v>
      </c>
      <c r="E245" s="25" t="s">
        <v>4395</v>
      </c>
      <c r="F245" s="2" t="s">
        <v>3993</v>
      </c>
      <c r="G245" s="2" t="s">
        <v>4198</v>
      </c>
      <c r="H245" s="25" t="s">
        <v>1368</v>
      </c>
      <c r="I245" s="186">
        <v>243.45</v>
      </c>
      <c r="J245" s="2" t="s">
        <v>4273</v>
      </c>
      <c r="K245" s="34" t="s">
        <v>4396</v>
      </c>
      <c r="L245" s="5">
        <v>40</v>
      </c>
      <c r="M245" s="95" t="s">
        <v>4273</v>
      </c>
      <c r="N245" s="95">
        <v>44930</v>
      </c>
      <c r="O245" s="2" t="s">
        <v>4397</v>
      </c>
      <c r="P245" s="2" t="s">
        <v>4398</v>
      </c>
      <c r="Q245" s="2" t="s">
        <v>4167</v>
      </c>
      <c r="R245" s="18" t="s">
        <v>38</v>
      </c>
      <c r="S245" s="18" t="s">
        <v>4399</v>
      </c>
    </row>
    <row r="246" spans="1:19" ht="28.8" x14ac:dyDescent="0.3">
      <c r="A246" t="s">
        <v>38</v>
      </c>
      <c r="B246" s="27" t="s">
        <v>1622</v>
      </c>
      <c r="C246" s="2" t="s">
        <v>4400</v>
      </c>
      <c r="D246" s="95">
        <v>44816</v>
      </c>
      <c r="E246" s="2" t="s">
        <v>4401</v>
      </c>
      <c r="F246" s="19" t="s">
        <v>4237</v>
      </c>
      <c r="G246" s="2" t="s">
        <v>3822</v>
      </c>
      <c r="H246" s="266" t="s">
        <v>4402</v>
      </c>
      <c r="I246" s="44" t="s">
        <v>4403</v>
      </c>
      <c r="J246" s="19" t="s">
        <v>4251</v>
      </c>
      <c r="K246" s="34">
        <v>1</v>
      </c>
      <c r="L246" s="5">
        <v>20</v>
      </c>
      <c r="M246" s="19" t="s">
        <v>4312</v>
      </c>
      <c r="N246" s="19" t="s">
        <v>4347</v>
      </c>
      <c r="O246" s="2" t="s">
        <v>4404</v>
      </c>
      <c r="P246" s="2" t="s">
        <v>28</v>
      </c>
      <c r="Q246" s="2" t="s">
        <v>4342</v>
      </c>
      <c r="R246" s="282" t="s">
        <v>38</v>
      </c>
      <c r="S246" s="137">
        <v>45020</v>
      </c>
    </row>
    <row r="247" spans="1:19" x14ac:dyDescent="0.3">
      <c r="A247" t="s">
        <v>38</v>
      </c>
      <c r="B247" s="27" t="s">
        <v>652</v>
      </c>
      <c r="C247" s="19" t="s">
        <v>4405</v>
      </c>
      <c r="D247" s="19" t="s">
        <v>4214</v>
      </c>
      <c r="E247" s="2" t="s">
        <v>4406</v>
      </c>
      <c r="F247" s="95">
        <v>45140</v>
      </c>
      <c r="G247" s="2" t="s">
        <v>1345</v>
      </c>
      <c r="H247" s="25" t="s">
        <v>1368</v>
      </c>
      <c r="I247" s="68">
        <v>23</v>
      </c>
      <c r="J247" s="19" t="s">
        <v>4317</v>
      </c>
      <c r="K247" s="34">
        <v>1</v>
      </c>
      <c r="L247" s="5">
        <v>20</v>
      </c>
      <c r="M247" s="19" t="s">
        <v>4358</v>
      </c>
      <c r="N247" s="95" t="s">
        <v>4380</v>
      </c>
      <c r="O247" s="95">
        <v>45264</v>
      </c>
      <c r="P247" s="2" t="s">
        <v>4407</v>
      </c>
      <c r="Q247" s="95">
        <v>44989</v>
      </c>
      <c r="R247" s="282" t="s">
        <v>38</v>
      </c>
      <c r="S247" s="137">
        <v>45050</v>
      </c>
    </row>
    <row r="248" spans="1:19" x14ac:dyDescent="0.3">
      <c r="A248" t="s">
        <v>38</v>
      </c>
      <c r="B248" s="316" t="s">
        <v>4408</v>
      </c>
      <c r="C248" s="37" t="s">
        <v>4409</v>
      </c>
      <c r="D248" s="2" t="s">
        <v>4147</v>
      </c>
      <c r="E248" s="19">
        <v>224925666</v>
      </c>
      <c r="F248" s="2" t="s">
        <v>4245</v>
      </c>
      <c r="G248" s="2" t="s">
        <v>3822</v>
      </c>
      <c r="H248" s="7" t="s">
        <v>4410</v>
      </c>
      <c r="I248" s="10">
        <v>18</v>
      </c>
      <c r="J248" s="95">
        <v>44929</v>
      </c>
      <c r="K248" s="5">
        <v>1</v>
      </c>
      <c r="L248" s="5">
        <v>20</v>
      </c>
      <c r="M248" s="19" t="s">
        <v>1343</v>
      </c>
      <c r="N248" s="95">
        <v>45081</v>
      </c>
      <c r="O248" s="95">
        <v>45203</v>
      </c>
      <c r="P248" s="2" t="s">
        <v>28</v>
      </c>
      <c r="Q248" s="2" t="s">
        <v>4317</v>
      </c>
      <c r="R248" s="282" t="s">
        <v>38</v>
      </c>
      <c r="S248" s="137">
        <v>45050</v>
      </c>
    </row>
    <row r="249" spans="1:19" ht="28.8" x14ac:dyDescent="0.3">
      <c r="A249" t="s">
        <v>60</v>
      </c>
      <c r="B249" s="316" t="s">
        <v>1433</v>
      </c>
      <c r="C249" s="4" t="s">
        <v>4411</v>
      </c>
      <c r="D249" s="252" t="s">
        <v>4135</v>
      </c>
      <c r="E249" s="251">
        <v>224981948</v>
      </c>
      <c r="F249" s="252" t="s">
        <v>4234</v>
      </c>
      <c r="G249" s="252" t="s">
        <v>4391</v>
      </c>
      <c r="H249" s="7" t="s">
        <v>1453</v>
      </c>
      <c r="I249" s="10">
        <v>21</v>
      </c>
      <c r="J249" s="286">
        <v>45263</v>
      </c>
      <c r="K249" s="252">
        <v>1</v>
      </c>
      <c r="L249" s="252">
        <v>20</v>
      </c>
      <c r="M249" s="20" t="s">
        <v>1343</v>
      </c>
      <c r="N249" s="287">
        <v>45050</v>
      </c>
      <c r="O249" s="252" t="s">
        <v>4412</v>
      </c>
      <c r="P249" s="252" t="s">
        <v>4413</v>
      </c>
      <c r="Q249" s="252" t="s">
        <v>1343</v>
      </c>
      <c r="R249" s="282" t="s">
        <v>191</v>
      </c>
      <c r="S249" s="320">
        <v>45050</v>
      </c>
    </row>
    <row r="250" spans="1:19" x14ac:dyDescent="0.3">
      <c r="A250" t="s">
        <v>123</v>
      </c>
      <c r="B250" s="227" t="s">
        <v>124</v>
      </c>
      <c r="C250" s="219" t="s">
        <v>4414</v>
      </c>
      <c r="D250" s="219" t="s">
        <v>4415</v>
      </c>
      <c r="E250" s="2" t="s">
        <v>4416</v>
      </c>
      <c r="F250" s="2" t="s">
        <v>4347</v>
      </c>
      <c r="G250" s="2" t="s">
        <v>1491</v>
      </c>
      <c r="H250" s="67" t="s">
        <v>1892</v>
      </c>
      <c r="I250" s="241">
        <v>30</v>
      </c>
      <c r="J250" s="2"/>
      <c r="K250" s="2">
        <v>1</v>
      </c>
      <c r="L250" s="2"/>
      <c r="M250" s="112">
        <v>44961</v>
      </c>
      <c r="N250" s="112">
        <v>45050</v>
      </c>
      <c r="O250" s="2">
        <v>2</v>
      </c>
      <c r="P250" s="2" t="s">
        <v>4417</v>
      </c>
      <c r="Q250" s="2"/>
      <c r="R250" s="282" t="s">
        <v>123</v>
      </c>
      <c r="S250" s="137">
        <v>45050</v>
      </c>
    </row>
    <row r="251" spans="1:19" x14ac:dyDescent="0.3">
      <c r="A251" t="s">
        <v>123</v>
      </c>
      <c r="B251" s="123" t="s">
        <v>124</v>
      </c>
      <c r="C251" s="219" t="s">
        <v>4418</v>
      </c>
      <c r="D251" s="219" t="s">
        <v>4415</v>
      </c>
      <c r="E251" s="2"/>
      <c r="F251" s="2"/>
      <c r="G251" s="2" t="s">
        <v>1491</v>
      </c>
      <c r="H251" s="67" t="s">
        <v>1892</v>
      </c>
      <c r="I251" s="241">
        <v>30</v>
      </c>
      <c r="J251" s="2"/>
      <c r="K251" s="2"/>
      <c r="L251" s="2"/>
      <c r="M251" s="112">
        <v>45020</v>
      </c>
      <c r="N251" s="112">
        <v>45050</v>
      </c>
      <c r="O251" s="2">
        <v>2</v>
      </c>
      <c r="P251" s="2" t="s">
        <v>4417</v>
      </c>
      <c r="Q251" s="2"/>
      <c r="R251" s="282" t="s">
        <v>123</v>
      </c>
      <c r="S251" s="137">
        <v>45050</v>
      </c>
    </row>
    <row r="252" spans="1:19" x14ac:dyDescent="0.3">
      <c r="A252" t="s">
        <v>38</v>
      </c>
      <c r="B252" s="27" t="s">
        <v>652</v>
      </c>
      <c r="C252" s="2" t="s">
        <v>4394</v>
      </c>
      <c r="D252" s="95">
        <v>44958</v>
      </c>
      <c r="E252" s="25" t="s">
        <v>4395</v>
      </c>
      <c r="F252" s="2" t="s">
        <v>3993</v>
      </c>
      <c r="G252" s="2" t="s">
        <v>4198</v>
      </c>
      <c r="H252" s="25" t="s">
        <v>1368</v>
      </c>
      <c r="I252" s="186">
        <v>297.55</v>
      </c>
      <c r="J252" s="2" t="s">
        <v>4273</v>
      </c>
      <c r="K252" s="34">
        <v>11</v>
      </c>
      <c r="L252" s="5">
        <v>40</v>
      </c>
      <c r="M252" s="95" t="s">
        <v>4273</v>
      </c>
      <c r="N252" s="95">
        <v>45050</v>
      </c>
      <c r="O252" s="2" t="s">
        <v>4412</v>
      </c>
      <c r="P252" s="2" t="s">
        <v>4419</v>
      </c>
      <c r="Q252" s="2" t="s">
        <v>4167</v>
      </c>
      <c r="R252" s="282" t="s">
        <v>38</v>
      </c>
      <c r="S252" s="137">
        <v>45081</v>
      </c>
    </row>
    <row r="253" spans="1:19" x14ac:dyDescent="0.3">
      <c r="A253" t="s">
        <v>55</v>
      </c>
      <c r="B253" s="2" t="s">
        <v>891</v>
      </c>
      <c r="C253" s="2" t="s">
        <v>4420</v>
      </c>
      <c r="D253" s="2"/>
      <c r="E253" s="2">
        <v>454007</v>
      </c>
      <c r="F253" s="2" t="s">
        <v>4296</v>
      </c>
      <c r="G253" s="2" t="s">
        <v>3731</v>
      </c>
      <c r="H253" s="25" t="s">
        <v>1496</v>
      </c>
      <c r="I253" s="111">
        <v>5</v>
      </c>
      <c r="J253" s="2"/>
      <c r="K253" s="2"/>
      <c r="L253" s="2"/>
      <c r="M253" s="95">
        <v>44961</v>
      </c>
      <c r="N253" s="95">
        <v>45050</v>
      </c>
      <c r="O253" s="2"/>
      <c r="P253" s="2" t="s">
        <v>121</v>
      </c>
      <c r="Q253" s="2"/>
      <c r="R253" s="282" t="s">
        <v>55</v>
      </c>
      <c r="S253" s="137">
        <v>45111</v>
      </c>
    </row>
    <row r="254" spans="1:19" x14ac:dyDescent="0.3">
      <c r="A254" t="s">
        <v>38</v>
      </c>
      <c r="B254" s="27" t="s">
        <v>4421</v>
      </c>
      <c r="C254" s="19" t="s">
        <v>4422</v>
      </c>
      <c r="D254" s="2" t="s">
        <v>4245</v>
      </c>
      <c r="E254" s="331" t="s">
        <v>4423</v>
      </c>
      <c r="F254" s="95">
        <v>45140</v>
      </c>
      <c r="G254" s="2" t="s">
        <v>1996</v>
      </c>
      <c r="H254" s="25" t="s">
        <v>1346</v>
      </c>
      <c r="I254" s="325">
        <v>230.2</v>
      </c>
      <c r="J254" s="5" t="s">
        <v>4322</v>
      </c>
      <c r="K254" s="34">
        <v>10</v>
      </c>
      <c r="L254" s="5">
        <v>20</v>
      </c>
      <c r="M254" s="95" t="s">
        <v>4337</v>
      </c>
      <c r="N254" s="95">
        <v>44930</v>
      </c>
      <c r="O254" s="27" t="s">
        <v>4424</v>
      </c>
      <c r="P254" s="2" t="s">
        <v>4425</v>
      </c>
      <c r="Q254" s="112">
        <v>45081</v>
      </c>
      <c r="R254" s="282" t="s">
        <v>38</v>
      </c>
      <c r="S254" s="137">
        <v>45173</v>
      </c>
    </row>
    <row r="255" spans="1:19" x14ac:dyDescent="0.3">
      <c r="A255" t="s">
        <v>38</v>
      </c>
      <c r="B255" s="27" t="s">
        <v>4426</v>
      </c>
      <c r="C255" s="2" t="s">
        <v>4427</v>
      </c>
      <c r="D255" s="2" t="s">
        <v>4341</v>
      </c>
      <c r="E255" s="27" t="s">
        <v>4428</v>
      </c>
      <c r="F255" s="95">
        <v>45140</v>
      </c>
      <c r="G255" s="2" t="s">
        <v>1996</v>
      </c>
      <c r="H255" s="25" t="s">
        <v>1346</v>
      </c>
      <c r="I255" s="111">
        <v>23.75</v>
      </c>
      <c r="J255" s="2" t="s">
        <v>4342</v>
      </c>
      <c r="K255" s="34">
        <v>1</v>
      </c>
      <c r="L255" s="5">
        <v>20</v>
      </c>
      <c r="M255" s="95" t="s">
        <v>4337</v>
      </c>
      <c r="N255" s="95">
        <v>44930</v>
      </c>
      <c r="O255" s="2" t="s">
        <v>4424</v>
      </c>
      <c r="P255" s="2" t="s">
        <v>4208</v>
      </c>
      <c r="Q255" s="112">
        <v>45081</v>
      </c>
      <c r="R255" s="282" t="s">
        <v>38</v>
      </c>
      <c r="S255" s="137">
        <v>45173</v>
      </c>
    </row>
    <row r="256" spans="1:19" x14ac:dyDescent="0.3">
      <c r="A256" t="s">
        <v>60</v>
      </c>
      <c r="B256" s="252" t="s">
        <v>4429</v>
      </c>
      <c r="C256" s="334" t="s">
        <v>4430</v>
      </c>
      <c r="D256" s="252" t="s">
        <v>4431</v>
      </c>
      <c r="E256" s="252" t="s">
        <v>4432</v>
      </c>
      <c r="F256" s="252" t="s">
        <v>4370</v>
      </c>
      <c r="G256" s="252"/>
      <c r="H256" s="252" t="s">
        <v>4433</v>
      </c>
      <c r="I256" s="252"/>
      <c r="J256" s="252"/>
      <c r="K256" s="252"/>
      <c r="L256" s="252"/>
      <c r="M256" s="252" t="s">
        <v>4434</v>
      </c>
      <c r="N256" s="252" t="s">
        <v>4435</v>
      </c>
      <c r="O256" s="252"/>
      <c r="P256" s="252" t="s">
        <v>121</v>
      </c>
      <c r="Q256" s="252" t="s">
        <v>4436</v>
      </c>
      <c r="R256" s="282" t="s">
        <v>191</v>
      </c>
      <c r="S256" s="137">
        <v>45142</v>
      </c>
    </row>
    <row r="257" spans="1:19" x14ac:dyDescent="0.3">
      <c r="A257" t="s">
        <v>38</v>
      </c>
      <c r="B257" s="27" t="s">
        <v>4426</v>
      </c>
      <c r="C257" s="19" t="s">
        <v>4422</v>
      </c>
      <c r="D257" s="2" t="s">
        <v>4245</v>
      </c>
      <c r="E257" s="25" t="s">
        <v>4437</v>
      </c>
      <c r="F257" s="95">
        <v>45140</v>
      </c>
      <c r="G257" s="2" t="s">
        <v>1996</v>
      </c>
      <c r="H257" s="25" t="s">
        <v>1346</v>
      </c>
      <c r="I257" s="111">
        <v>92.9</v>
      </c>
      <c r="J257" s="2" t="s">
        <v>4337</v>
      </c>
      <c r="K257" s="34">
        <v>4</v>
      </c>
      <c r="L257" s="5">
        <v>20</v>
      </c>
      <c r="M257" s="95" t="s">
        <v>4334</v>
      </c>
      <c r="N257" s="95">
        <v>45142</v>
      </c>
      <c r="O257" s="2" t="s">
        <v>4412</v>
      </c>
      <c r="P257" s="2" t="s">
        <v>4438</v>
      </c>
      <c r="Q257" s="112">
        <v>45081</v>
      </c>
      <c r="R257" s="18" t="s">
        <v>38</v>
      </c>
      <c r="S257" s="137">
        <v>45203</v>
      </c>
    </row>
    <row r="258" spans="1:19" ht="55.2" x14ac:dyDescent="0.3">
      <c r="A258" t="s">
        <v>123</v>
      </c>
      <c r="B258" s="326" t="s">
        <v>166</v>
      </c>
      <c r="C258" s="334" t="s">
        <v>4439</v>
      </c>
      <c r="D258" s="219" t="s">
        <v>4440</v>
      </c>
      <c r="E258" s="219" t="s">
        <v>4441</v>
      </c>
      <c r="F258" s="112">
        <v>44961</v>
      </c>
      <c r="G258" s="2" t="s">
        <v>1296</v>
      </c>
      <c r="H258" s="247" t="s">
        <v>4442</v>
      </c>
      <c r="I258" s="241">
        <v>56</v>
      </c>
      <c r="J258" s="2"/>
      <c r="K258" s="2">
        <v>2</v>
      </c>
      <c r="L258" s="2"/>
      <c r="M258" s="112">
        <v>45173</v>
      </c>
      <c r="N258" s="112">
        <v>45203</v>
      </c>
      <c r="O258" s="2">
        <v>2</v>
      </c>
      <c r="P258" s="2" t="s">
        <v>4443</v>
      </c>
      <c r="Q258" s="112">
        <v>45173</v>
      </c>
      <c r="R258" t="s">
        <v>123</v>
      </c>
      <c r="S258" s="137">
        <v>45203</v>
      </c>
    </row>
    <row r="259" spans="1:19" ht="28.8" x14ac:dyDescent="0.3">
      <c r="A259" t="s">
        <v>60</v>
      </c>
      <c r="B259" s="261" t="s">
        <v>989</v>
      </c>
      <c r="C259" s="252" t="s">
        <v>4444</v>
      </c>
      <c r="D259" s="252" t="s">
        <v>4194</v>
      </c>
      <c r="E259" s="252" t="s">
        <v>4445</v>
      </c>
      <c r="F259" s="252" t="s">
        <v>4341</v>
      </c>
      <c r="G259" s="252" t="s">
        <v>1318</v>
      </c>
      <c r="H259" s="252" t="s">
        <v>152</v>
      </c>
      <c r="I259" s="252">
        <v>20</v>
      </c>
      <c r="J259" s="252" t="s">
        <v>4312</v>
      </c>
      <c r="K259" s="252">
        <v>1</v>
      </c>
      <c r="L259" s="252">
        <v>20</v>
      </c>
      <c r="M259" s="252" t="s">
        <v>4342</v>
      </c>
      <c r="N259" s="287">
        <v>45081</v>
      </c>
      <c r="O259" s="252" t="s">
        <v>4446</v>
      </c>
      <c r="P259" s="252" t="s">
        <v>28</v>
      </c>
      <c r="Q259" s="252" t="s">
        <v>4436</v>
      </c>
      <c r="R259" s="282" t="s">
        <v>191</v>
      </c>
      <c r="S259" s="333">
        <v>45234</v>
      </c>
    </row>
    <row r="260" spans="1:19" x14ac:dyDescent="0.3">
      <c r="A260" t="s">
        <v>38</v>
      </c>
      <c r="B260" s="27" t="s">
        <v>4426</v>
      </c>
      <c r="C260" s="2" t="s">
        <v>4427</v>
      </c>
      <c r="D260" s="2" t="s">
        <v>4341</v>
      </c>
      <c r="E260" s="25" t="s">
        <v>4447</v>
      </c>
      <c r="F260" s="95">
        <v>45171</v>
      </c>
      <c r="G260" s="2" t="s">
        <v>1996</v>
      </c>
      <c r="H260" s="25" t="s">
        <v>1346</v>
      </c>
      <c r="I260" s="111">
        <v>235.65</v>
      </c>
      <c r="J260" s="2" t="s">
        <v>4448</v>
      </c>
      <c r="K260" s="34">
        <v>10</v>
      </c>
      <c r="L260" s="5">
        <v>20</v>
      </c>
      <c r="M260" s="95" t="s">
        <v>4334</v>
      </c>
      <c r="N260" s="95">
        <v>45081</v>
      </c>
      <c r="O260" s="2" t="s">
        <v>4449</v>
      </c>
      <c r="P260" s="2" t="s">
        <v>4450</v>
      </c>
      <c r="Q260" s="112">
        <v>45081</v>
      </c>
      <c r="R260" t="s">
        <v>38</v>
      </c>
      <c r="S260" s="137">
        <v>45234</v>
      </c>
    </row>
    <row r="261" spans="1:19" ht="43.2" x14ac:dyDescent="0.3">
      <c r="A261" t="s">
        <v>38</v>
      </c>
      <c r="B261" s="27" t="s">
        <v>4421</v>
      </c>
      <c r="C261" s="19" t="s">
        <v>4422</v>
      </c>
      <c r="D261" s="2" t="s">
        <v>4245</v>
      </c>
      <c r="E261" s="4" t="s">
        <v>4451</v>
      </c>
      <c r="F261" s="95">
        <v>45018</v>
      </c>
      <c r="G261" s="2" t="s">
        <v>1996</v>
      </c>
      <c r="H261" s="25" t="s">
        <v>1346</v>
      </c>
      <c r="I261" s="2">
        <v>140.15</v>
      </c>
      <c r="J261" s="5" t="s">
        <v>4317</v>
      </c>
      <c r="K261" s="34" t="s">
        <v>4452</v>
      </c>
      <c r="L261" s="5">
        <v>20</v>
      </c>
      <c r="M261" s="19" t="s">
        <v>4358</v>
      </c>
      <c r="N261" s="95">
        <v>45142</v>
      </c>
      <c r="O261" s="2" t="s">
        <v>4453</v>
      </c>
      <c r="P261" s="2" t="s">
        <v>4454</v>
      </c>
      <c r="Q261" s="235" t="s">
        <v>4455</v>
      </c>
      <c r="R261" t="s">
        <v>4456</v>
      </c>
      <c r="S261" s="137">
        <v>45264</v>
      </c>
    </row>
    <row r="262" spans="1:19" x14ac:dyDescent="0.3">
      <c r="A262" t="s">
        <v>38</v>
      </c>
      <c r="B262" s="316" t="s">
        <v>1314</v>
      </c>
      <c r="C262" s="37" t="s">
        <v>4457</v>
      </c>
      <c r="D262" s="2" t="s">
        <v>4245</v>
      </c>
      <c r="E262" s="2" t="s">
        <v>4458</v>
      </c>
      <c r="F262" s="2" t="s">
        <v>4303</v>
      </c>
      <c r="G262" s="2" t="s">
        <v>1318</v>
      </c>
      <c r="H262" s="7" t="s">
        <v>152</v>
      </c>
      <c r="I262" s="10">
        <v>20</v>
      </c>
      <c r="J262" s="2" t="s">
        <v>4312</v>
      </c>
      <c r="K262" s="34">
        <v>1</v>
      </c>
      <c r="L262" s="5">
        <v>20</v>
      </c>
      <c r="M262" s="19" t="s">
        <v>4342</v>
      </c>
      <c r="N262" s="95" t="s">
        <v>4404</v>
      </c>
      <c r="O262" s="2" t="s">
        <v>1372</v>
      </c>
      <c r="P262" s="2" t="s">
        <v>121</v>
      </c>
      <c r="Q262" s="95">
        <v>44989</v>
      </c>
      <c r="R262" t="s">
        <v>38</v>
      </c>
      <c r="S262" s="137" t="s">
        <v>4459</v>
      </c>
    </row>
    <row r="263" spans="1:19" x14ac:dyDescent="0.3">
      <c r="A263" t="s">
        <v>38</v>
      </c>
      <c r="B263" s="27" t="s">
        <v>4426</v>
      </c>
      <c r="C263" s="2" t="s">
        <v>4427</v>
      </c>
      <c r="D263" s="2" t="s">
        <v>4341</v>
      </c>
      <c r="E263" s="25" t="s">
        <v>4460</v>
      </c>
      <c r="F263" s="95">
        <v>44959</v>
      </c>
      <c r="G263" s="2" t="s">
        <v>1996</v>
      </c>
      <c r="H263" s="25" t="s">
        <v>1346</v>
      </c>
      <c r="I263" s="111">
        <v>207.95</v>
      </c>
      <c r="J263" s="2" t="s">
        <v>4347</v>
      </c>
      <c r="K263" s="34" t="s">
        <v>4461</v>
      </c>
      <c r="L263" s="5">
        <v>20</v>
      </c>
      <c r="M263" s="95" t="s">
        <v>4462</v>
      </c>
      <c r="N263" s="95" t="s">
        <v>4273</v>
      </c>
      <c r="O263" s="2" t="s">
        <v>1372</v>
      </c>
      <c r="P263" s="2" t="s">
        <v>4463</v>
      </c>
      <c r="Q263" s="2"/>
      <c r="R263" t="s">
        <v>1783</v>
      </c>
      <c r="S263" s="137" t="s">
        <v>4412</v>
      </c>
    </row>
    <row r="264" spans="1:19" x14ac:dyDescent="0.3">
      <c r="A264" t="s">
        <v>38</v>
      </c>
      <c r="B264" s="27" t="s">
        <v>4421</v>
      </c>
      <c r="C264" s="2" t="s">
        <v>4464</v>
      </c>
      <c r="D264" s="2" t="s">
        <v>4322</v>
      </c>
      <c r="E264" s="331" t="s">
        <v>4465</v>
      </c>
      <c r="F264" s="2" t="s">
        <v>4130</v>
      </c>
      <c r="G264" s="2" t="s">
        <v>1996</v>
      </c>
      <c r="H264" s="25" t="s">
        <v>1346</v>
      </c>
      <c r="I264" s="2">
        <v>165.35</v>
      </c>
      <c r="J264" s="19" t="s">
        <v>4361</v>
      </c>
      <c r="K264" s="34" t="s">
        <v>4466</v>
      </c>
      <c r="L264" s="5">
        <v>20</v>
      </c>
      <c r="M264" s="19" t="s">
        <v>4467</v>
      </c>
      <c r="N264" s="95">
        <v>45203</v>
      </c>
      <c r="O264" s="2" t="s">
        <v>4468</v>
      </c>
      <c r="P264" s="2" t="s">
        <v>28</v>
      </c>
      <c r="Q264" s="2" t="s">
        <v>4469</v>
      </c>
      <c r="R264" t="s">
        <v>4470</v>
      </c>
      <c r="S264" s="137" t="s">
        <v>4471</v>
      </c>
    </row>
    <row r="265" spans="1:19" x14ac:dyDescent="0.3">
      <c r="A265" t="s">
        <v>38</v>
      </c>
      <c r="B265" s="27" t="s">
        <v>4421</v>
      </c>
      <c r="C265" s="2" t="s">
        <v>4464</v>
      </c>
      <c r="D265" s="2" t="s">
        <v>4322</v>
      </c>
      <c r="E265" s="331" t="s">
        <v>4472</v>
      </c>
      <c r="F265" s="95">
        <v>44959</v>
      </c>
      <c r="G265" s="2" t="s">
        <v>1996</v>
      </c>
      <c r="H265" s="25" t="s">
        <v>1346</v>
      </c>
      <c r="I265" s="2">
        <v>70.3</v>
      </c>
      <c r="J265" s="5"/>
      <c r="K265" s="34">
        <v>3</v>
      </c>
      <c r="L265" s="5">
        <v>20</v>
      </c>
      <c r="M265" s="19" t="s">
        <v>4348</v>
      </c>
      <c r="N265" s="95">
        <v>45203</v>
      </c>
      <c r="O265" s="2" t="s">
        <v>4468</v>
      </c>
      <c r="P265" s="2" t="s">
        <v>28</v>
      </c>
      <c r="Q265" s="2" t="s">
        <v>4469</v>
      </c>
      <c r="R265" t="s">
        <v>38</v>
      </c>
      <c r="S265" s="137" t="s">
        <v>4471</v>
      </c>
    </row>
    <row r="266" spans="1:19" x14ac:dyDescent="0.3">
      <c r="A266" t="s">
        <v>38</v>
      </c>
      <c r="B266" s="27" t="s">
        <v>4421</v>
      </c>
      <c r="C266" s="2" t="s">
        <v>4464</v>
      </c>
      <c r="D266" s="2" t="s">
        <v>4322</v>
      </c>
      <c r="E266" s="331" t="s">
        <v>4473</v>
      </c>
      <c r="F266" s="19" t="s">
        <v>4136</v>
      </c>
      <c r="G266" s="2" t="s">
        <v>1996</v>
      </c>
      <c r="H266" s="25" t="s">
        <v>1346</v>
      </c>
      <c r="I266" s="2">
        <v>165.55</v>
      </c>
      <c r="J266" s="19" t="s">
        <v>4361</v>
      </c>
      <c r="K266" s="34" t="s">
        <v>4466</v>
      </c>
      <c r="L266" s="5">
        <v>20</v>
      </c>
      <c r="M266" s="19" t="s">
        <v>4467</v>
      </c>
      <c r="N266" s="95">
        <v>45203</v>
      </c>
      <c r="O266" s="2" t="s">
        <v>4468</v>
      </c>
      <c r="P266" s="2" t="s">
        <v>28</v>
      </c>
      <c r="Q266" s="2" t="s">
        <v>4469</v>
      </c>
      <c r="R266" t="s">
        <v>4470</v>
      </c>
      <c r="S266" s="137" t="s">
        <v>4471</v>
      </c>
    </row>
    <row r="267" spans="1:19" x14ac:dyDescent="0.3">
      <c r="A267" t="s">
        <v>38</v>
      </c>
      <c r="B267" s="27" t="s">
        <v>4421</v>
      </c>
      <c r="C267" s="2" t="s">
        <v>4464</v>
      </c>
      <c r="D267" s="2" t="s">
        <v>4322</v>
      </c>
      <c r="E267" s="331" t="s">
        <v>4474</v>
      </c>
      <c r="F267" s="95">
        <v>45201</v>
      </c>
      <c r="G267" s="2" t="s">
        <v>1996</v>
      </c>
      <c r="H267" s="25" t="s">
        <v>1346</v>
      </c>
      <c r="I267" s="2">
        <v>24</v>
      </c>
      <c r="J267" s="19" t="s">
        <v>4380</v>
      </c>
      <c r="K267" s="34">
        <v>1</v>
      </c>
      <c r="L267" s="5">
        <v>20</v>
      </c>
      <c r="M267" s="19" t="s">
        <v>4334</v>
      </c>
      <c r="N267" s="95">
        <v>45203</v>
      </c>
      <c r="O267" s="2" t="s">
        <v>4468</v>
      </c>
      <c r="P267" s="2" t="s">
        <v>28</v>
      </c>
      <c r="Q267" s="2" t="s">
        <v>4469</v>
      </c>
      <c r="R267" t="s">
        <v>38</v>
      </c>
      <c r="S267" s="137" t="s">
        <v>4471</v>
      </c>
    </row>
    <row r="268" spans="1:19" x14ac:dyDescent="0.3">
      <c r="A268" t="s">
        <v>38</v>
      </c>
      <c r="B268" s="27" t="s">
        <v>4421</v>
      </c>
      <c r="C268" s="2" t="s">
        <v>4464</v>
      </c>
      <c r="D268" s="2" t="s">
        <v>4322</v>
      </c>
      <c r="E268" s="331" t="s">
        <v>4475</v>
      </c>
      <c r="F268" s="95">
        <v>44987</v>
      </c>
      <c r="G268" s="2" t="s">
        <v>1996</v>
      </c>
      <c r="H268" s="25" t="s">
        <v>1346</v>
      </c>
      <c r="I268" s="2">
        <v>47.75</v>
      </c>
      <c r="J268" s="19" t="s">
        <v>4312</v>
      </c>
      <c r="K268" s="34">
        <v>2</v>
      </c>
      <c r="L268" s="5">
        <v>20</v>
      </c>
      <c r="M268" s="19" t="s">
        <v>4348</v>
      </c>
      <c r="N268" s="95">
        <v>45203</v>
      </c>
      <c r="O268" s="2" t="s">
        <v>4468</v>
      </c>
      <c r="P268" s="2" t="s">
        <v>28</v>
      </c>
      <c r="Q268" s="2" t="s">
        <v>4469</v>
      </c>
      <c r="R268" t="s">
        <v>38</v>
      </c>
      <c r="S268" s="137" t="s">
        <v>4471</v>
      </c>
    </row>
    <row r="269" spans="1:19" ht="28.8" x14ac:dyDescent="0.3">
      <c r="A269" t="s">
        <v>123</v>
      </c>
      <c r="B269" s="304" t="s">
        <v>4476</v>
      </c>
      <c r="C269" s="219" t="s">
        <v>4477</v>
      </c>
      <c r="D269" s="219" t="s">
        <v>4478</v>
      </c>
      <c r="E269" s="262">
        <v>111229</v>
      </c>
      <c r="F269" s="252" t="s">
        <v>4479</v>
      </c>
      <c r="G269" s="2"/>
      <c r="H269" s="2" t="s">
        <v>4480</v>
      </c>
      <c r="I269" s="241">
        <v>14520</v>
      </c>
      <c r="J269" s="2"/>
      <c r="K269" s="2"/>
      <c r="L269" s="2"/>
      <c r="M269" s="252" t="s">
        <v>4481</v>
      </c>
      <c r="N269" s="2" t="s">
        <v>4412</v>
      </c>
      <c r="O269" s="2"/>
      <c r="P269" s="2" t="s">
        <v>28</v>
      </c>
      <c r="Q269" s="2" t="s">
        <v>4482</v>
      </c>
      <c r="R269" s="18" t="s">
        <v>123</v>
      </c>
      <c r="S269" s="137" t="s">
        <v>4446</v>
      </c>
    </row>
    <row r="270" spans="1:19" x14ac:dyDescent="0.3">
      <c r="A270" t="s">
        <v>38</v>
      </c>
      <c r="B270" s="2" t="s">
        <v>2583</v>
      </c>
      <c r="C270" s="323" t="s">
        <v>4483</v>
      </c>
      <c r="D270" s="2"/>
      <c r="E270" s="2"/>
      <c r="F270" s="2"/>
      <c r="G270" s="2"/>
      <c r="H270" s="2" t="s">
        <v>2589</v>
      </c>
      <c r="I270" s="7">
        <v>10</v>
      </c>
      <c r="J270" s="2"/>
      <c r="K270" s="2"/>
      <c r="L270" s="2"/>
      <c r="M270" s="2" t="s">
        <v>4446</v>
      </c>
      <c r="N270" s="2"/>
      <c r="O270" s="2"/>
      <c r="P270" s="2" t="s">
        <v>28</v>
      </c>
      <c r="Q270" s="2" t="s">
        <v>4484</v>
      </c>
      <c r="R270" s="74" t="s">
        <v>38</v>
      </c>
      <c r="S270" s="137" t="s">
        <v>4471</v>
      </c>
    </row>
    <row r="271" spans="1:19" ht="57.6" x14ac:dyDescent="0.3">
      <c r="A271" t="s">
        <v>60</v>
      </c>
      <c r="B271" s="261" t="s">
        <v>2686</v>
      </c>
      <c r="C271" s="252" t="s">
        <v>4485</v>
      </c>
      <c r="D271" s="252" t="s">
        <v>4268</v>
      </c>
      <c r="E271" s="252" t="s">
        <v>4486</v>
      </c>
      <c r="F271" s="287">
        <v>44929</v>
      </c>
      <c r="G271" s="252" t="s">
        <v>4212</v>
      </c>
      <c r="H271" s="252" t="s">
        <v>715</v>
      </c>
      <c r="I271" s="252">
        <v>170.35</v>
      </c>
      <c r="J271" s="252"/>
      <c r="K271" s="252">
        <v>7</v>
      </c>
      <c r="L271" s="252">
        <v>20</v>
      </c>
      <c r="M271" s="286">
        <v>45081</v>
      </c>
      <c r="N271" s="287" t="s">
        <v>4487</v>
      </c>
      <c r="O271" s="252" t="s">
        <v>4488</v>
      </c>
      <c r="P271" s="252" t="s">
        <v>28</v>
      </c>
      <c r="Q271" s="252" t="s">
        <v>4468</v>
      </c>
      <c r="R271" s="74" t="s">
        <v>123</v>
      </c>
      <c r="S271" s="137" t="s">
        <v>4489</v>
      </c>
    </row>
    <row r="272" spans="1:19" x14ac:dyDescent="0.3">
      <c r="A272" t="s">
        <v>38</v>
      </c>
      <c r="B272" s="27" t="s">
        <v>4490</v>
      </c>
      <c r="C272" s="2" t="s">
        <v>4491</v>
      </c>
      <c r="D272" s="2" t="s">
        <v>4317</v>
      </c>
      <c r="E272" s="19" t="s">
        <v>4492</v>
      </c>
      <c r="F272" s="2" t="s">
        <v>4150</v>
      </c>
      <c r="G272" s="2" t="s">
        <v>1355</v>
      </c>
      <c r="H272" s="25" t="s">
        <v>1346</v>
      </c>
      <c r="I272" s="2">
        <v>471.57</v>
      </c>
      <c r="J272" s="19" t="s">
        <v>4323</v>
      </c>
      <c r="K272" s="34">
        <v>20</v>
      </c>
      <c r="L272" s="5">
        <v>20</v>
      </c>
      <c r="M272" s="95" t="s">
        <v>4350</v>
      </c>
      <c r="N272" s="95">
        <v>45142</v>
      </c>
      <c r="O272" s="2" t="s">
        <v>4488</v>
      </c>
      <c r="P272" s="2" t="s">
        <v>4493</v>
      </c>
      <c r="Q272" s="2" t="s">
        <v>4468</v>
      </c>
      <c r="R272" s="18" t="s">
        <v>38</v>
      </c>
      <c r="S272" s="137" t="s">
        <v>4489</v>
      </c>
    </row>
    <row r="273" spans="1:20" x14ac:dyDescent="0.3">
      <c r="A273" t="s">
        <v>123</v>
      </c>
      <c r="B273" s="603" t="s">
        <v>124</v>
      </c>
      <c r="C273" s="2" t="s">
        <v>4494</v>
      </c>
      <c r="D273" s="2" t="s">
        <v>4412</v>
      </c>
      <c r="E273" s="19">
        <v>2094</v>
      </c>
      <c r="F273" s="2" t="s">
        <v>4412</v>
      </c>
      <c r="G273" s="2" t="s">
        <v>1340</v>
      </c>
      <c r="H273" s="2" t="s">
        <v>4495</v>
      </c>
      <c r="I273" s="241">
        <v>19000</v>
      </c>
      <c r="J273" s="2"/>
      <c r="K273" s="2">
        <v>1</v>
      </c>
      <c r="L273" s="2"/>
      <c r="M273" s="2" t="s">
        <v>4468</v>
      </c>
      <c r="N273" s="2" t="s">
        <v>4496</v>
      </c>
      <c r="O273" s="2"/>
      <c r="P273" s="2" t="s">
        <v>4497</v>
      </c>
      <c r="Q273" s="2" t="s">
        <v>4468</v>
      </c>
      <c r="R273" s="74" t="s">
        <v>123</v>
      </c>
      <c r="S273" s="137" t="s">
        <v>4496</v>
      </c>
    </row>
    <row r="274" spans="1:20" x14ac:dyDescent="0.3">
      <c r="B274" s="604"/>
      <c r="C274" s="2"/>
      <c r="D274" s="2"/>
      <c r="E274" s="2"/>
      <c r="F274" s="2"/>
      <c r="G274" s="2"/>
      <c r="H274" s="2" t="s">
        <v>4498</v>
      </c>
      <c r="I274" s="250">
        <v>5000</v>
      </c>
      <c r="J274" s="2"/>
      <c r="K274" s="2"/>
      <c r="L274" s="2"/>
      <c r="M274" s="2"/>
      <c r="N274" s="2"/>
      <c r="O274" s="2"/>
      <c r="P274" s="2"/>
      <c r="Q274" s="2" t="s">
        <v>4499</v>
      </c>
    </row>
    <row r="275" spans="1:20" x14ac:dyDescent="0.3">
      <c r="B275" s="604"/>
      <c r="C275" s="2"/>
      <c r="D275" s="2"/>
      <c r="E275" s="2"/>
      <c r="F275" s="2"/>
      <c r="G275" s="2"/>
      <c r="H275" s="2" t="s">
        <v>4500</v>
      </c>
      <c r="I275" s="241">
        <v>1000</v>
      </c>
      <c r="J275" s="2"/>
      <c r="K275" s="2"/>
      <c r="L275" s="2"/>
      <c r="M275" s="2"/>
      <c r="N275" s="2"/>
      <c r="O275" s="2"/>
      <c r="P275" s="2"/>
      <c r="Q275" s="2"/>
    </row>
    <row r="276" spans="1:20" x14ac:dyDescent="0.3">
      <c r="B276" s="605"/>
      <c r="C276" s="2"/>
      <c r="D276" s="2"/>
      <c r="E276" s="2"/>
      <c r="F276" s="2"/>
      <c r="G276" s="2"/>
      <c r="H276" s="2" t="s">
        <v>4501</v>
      </c>
      <c r="I276" s="241">
        <v>5000</v>
      </c>
      <c r="J276" s="2"/>
      <c r="K276" s="2"/>
      <c r="L276" s="2"/>
      <c r="M276" s="2"/>
      <c r="N276" s="2"/>
      <c r="O276" s="2"/>
      <c r="P276" s="2"/>
      <c r="Q276" s="2"/>
    </row>
    <row r="277" spans="1:20" ht="43.2" x14ac:dyDescent="0.3">
      <c r="A277" t="s">
        <v>38</v>
      </c>
      <c r="B277" s="27" t="s">
        <v>4502</v>
      </c>
      <c r="C277" s="252" t="s">
        <v>4503</v>
      </c>
      <c r="D277" s="252" t="s">
        <v>4350</v>
      </c>
      <c r="E277" s="252" t="s">
        <v>4504</v>
      </c>
      <c r="F277" s="252" t="s">
        <v>4245</v>
      </c>
      <c r="G277" s="252" t="s">
        <v>4505</v>
      </c>
      <c r="H277" s="252" t="s">
        <v>4506</v>
      </c>
      <c r="I277" s="252">
        <v>207.56100000000001</v>
      </c>
      <c r="J277" s="287">
        <v>45020</v>
      </c>
      <c r="K277" s="283">
        <v>9</v>
      </c>
      <c r="L277" s="283">
        <v>20</v>
      </c>
      <c r="M277" s="287">
        <v>45081</v>
      </c>
      <c r="N277" s="287" t="s">
        <v>4412</v>
      </c>
      <c r="O277" s="286">
        <v>45174</v>
      </c>
      <c r="P277" s="252" t="s">
        <v>4493</v>
      </c>
      <c r="Q277" s="251" t="s">
        <v>4468</v>
      </c>
      <c r="R277" t="s">
        <v>38</v>
      </c>
      <c r="S277" t="s">
        <v>1372</v>
      </c>
    </row>
    <row r="278" spans="1:20" x14ac:dyDescent="0.3">
      <c r="A278" t="s">
        <v>38</v>
      </c>
      <c r="B278" s="27" t="s">
        <v>1486</v>
      </c>
      <c r="C278" s="2" t="s">
        <v>4507</v>
      </c>
      <c r="D278" s="2" t="s">
        <v>4262</v>
      </c>
      <c r="E278" s="4">
        <v>224730859</v>
      </c>
      <c r="F278" s="95">
        <v>45171</v>
      </c>
      <c r="G278" s="2" t="s">
        <v>1427</v>
      </c>
      <c r="H278" s="2" t="s">
        <v>4506</v>
      </c>
      <c r="I278" s="2">
        <v>462.08</v>
      </c>
      <c r="J278" s="2" t="s">
        <v>4352</v>
      </c>
      <c r="K278" s="34">
        <v>20</v>
      </c>
      <c r="L278" s="5">
        <v>20</v>
      </c>
      <c r="M278" s="95">
        <v>45020</v>
      </c>
      <c r="N278" s="19" t="s">
        <v>4496</v>
      </c>
      <c r="O278" s="112">
        <v>45112</v>
      </c>
      <c r="P278" s="2" t="s">
        <v>4508</v>
      </c>
      <c r="Q278" s="95">
        <v>45264</v>
      </c>
      <c r="R278" t="s">
        <v>4509</v>
      </c>
    </row>
    <row r="279" spans="1:20" x14ac:dyDescent="0.3">
      <c r="B279" s="27" t="s">
        <v>652</v>
      </c>
      <c r="C279" s="2" t="s">
        <v>4510</v>
      </c>
      <c r="D279" s="2" t="s">
        <v>4380</v>
      </c>
      <c r="E279" s="25" t="s">
        <v>4511</v>
      </c>
      <c r="F279" s="95">
        <v>45079</v>
      </c>
      <c r="G279" s="2" t="s">
        <v>4512</v>
      </c>
      <c r="H279" s="25" t="s">
        <v>1368</v>
      </c>
      <c r="I279" s="2">
        <v>474.86200000000002</v>
      </c>
      <c r="J279" s="95">
        <v>44989</v>
      </c>
      <c r="K279" s="34">
        <v>20</v>
      </c>
      <c r="L279" s="5">
        <v>20</v>
      </c>
      <c r="M279" s="95">
        <v>45111</v>
      </c>
      <c r="N279" s="19" t="s">
        <v>4446</v>
      </c>
      <c r="O279" s="112">
        <v>45204</v>
      </c>
      <c r="P279" s="2" t="s">
        <v>4508</v>
      </c>
      <c r="Q279" s="2" t="s">
        <v>4513</v>
      </c>
      <c r="R279" t="s">
        <v>4514</v>
      </c>
    </row>
    <row r="280" spans="1:20" ht="28.8" x14ac:dyDescent="0.3">
      <c r="A280" t="s">
        <v>60</v>
      </c>
      <c r="B280" s="316" t="s">
        <v>4515</v>
      </c>
      <c r="C280" s="4" t="s">
        <v>4516</v>
      </c>
      <c r="D280" s="286">
        <v>45262</v>
      </c>
      <c r="E280" s="252" t="s">
        <v>4517</v>
      </c>
      <c r="F280" s="252" t="s">
        <v>4245</v>
      </c>
      <c r="G280" s="252" t="s">
        <v>1402</v>
      </c>
      <c r="H280" s="252" t="s">
        <v>715</v>
      </c>
      <c r="I280" s="252">
        <v>123.42</v>
      </c>
      <c r="J280" s="252"/>
      <c r="K280" s="252">
        <v>5</v>
      </c>
      <c r="L280" s="252">
        <v>20</v>
      </c>
      <c r="M280" s="286">
        <v>44930</v>
      </c>
      <c r="N280" s="287" t="s">
        <v>4462</v>
      </c>
      <c r="O280" s="286">
        <v>45235</v>
      </c>
      <c r="P280" s="252" t="s">
        <v>28</v>
      </c>
      <c r="Q280" s="252" t="s">
        <v>4518</v>
      </c>
      <c r="R280" t="s">
        <v>4519</v>
      </c>
    </row>
    <row r="281" spans="1:20" ht="86.4" x14ac:dyDescent="0.3">
      <c r="A281" t="s">
        <v>123</v>
      </c>
      <c r="B281" s="304" t="s">
        <v>812</v>
      </c>
      <c r="C281" s="2" t="s">
        <v>4520</v>
      </c>
      <c r="D281" s="219" t="s">
        <v>4521</v>
      </c>
      <c r="E281" s="2" t="s">
        <v>4522</v>
      </c>
      <c r="F281" s="95">
        <v>45081</v>
      </c>
      <c r="G281" s="2" t="s">
        <v>23</v>
      </c>
      <c r="H281" s="2" t="s">
        <v>4523</v>
      </c>
      <c r="I281" s="241">
        <v>32</v>
      </c>
      <c r="J281" s="112">
        <v>45203</v>
      </c>
      <c r="K281" s="2">
        <v>2</v>
      </c>
      <c r="L281" s="2">
        <v>20</v>
      </c>
      <c r="M281" s="2" t="s">
        <v>4467</v>
      </c>
      <c r="N281" s="266" t="s">
        <v>4524</v>
      </c>
      <c r="O281" s="2">
        <v>21</v>
      </c>
      <c r="P281" s="2" t="s">
        <v>4525</v>
      </c>
      <c r="Q281" s="2" t="s">
        <v>4526</v>
      </c>
      <c r="R281" s="18" t="s">
        <v>123</v>
      </c>
      <c r="S281" s="343" t="s">
        <v>4527</v>
      </c>
    </row>
    <row r="282" spans="1:20" x14ac:dyDescent="0.3">
      <c r="A282" t="s">
        <v>38</v>
      </c>
      <c r="B282" s="316" t="s">
        <v>1314</v>
      </c>
      <c r="C282" s="323" t="s">
        <v>4528</v>
      </c>
      <c r="D282" s="2" t="s">
        <v>4273</v>
      </c>
      <c r="E282" s="6" t="s">
        <v>4529</v>
      </c>
      <c r="F282" s="112">
        <v>45020</v>
      </c>
      <c r="G282" s="2" t="s">
        <v>1318</v>
      </c>
      <c r="H282" s="7" t="s">
        <v>152</v>
      </c>
      <c r="I282" s="10">
        <v>20</v>
      </c>
      <c r="J282" s="2"/>
      <c r="K282" s="5">
        <v>1</v>
      </c>
      <c r="L282" s="5">
        <v>20</v>
      </c>
      <c r="M282" s="2" t="s">
        <v>4459</v>
      </c>
      <c r="N282" s="2" t="s">
        <v>4462</v>
      </c>
      <c r="O282" s="2" t="s">
        <v>4530</v>
      </c>
      <c r="P282" s="2" t="s">
        <v>28</v>
      </c>
      <c r="Q282" s="95">
        <v>45082</v>
      </c>
      <c r="R282" s="74" t="s">
        <v>38</v>
      </c>
      <c r="S282" s="137">
        <v>45145</v>
      </c>
    </row>
    <row r="283" spans="1:20" x14ac:dyDescent="0.3">
      <c r="A283" t="s">
        <v>123</v>
      </c>
      <c r="B283" s="25" t="s">
        <v>124</v>
      </c>
      <c r="C283" s="219" t="s">
        <v>4531</v>
      </c>
      <c r="D283" s="219" t="s">
        <v>4532</v>
      </c>
      <c r="E283" s="2" t="s">
        <v>4533</v>
      </c>
      <c r="F283" s="95">
        <v>45082</v>
      </c>
      <c r="G283" s="2" t="s">
        <v>1340</v>
      </c>
      <c r="H283" s="25" t="s">
        <v>4534</v>
      </c>
      <c r="I283" s="241">
        <v>30</v>
      </c>
      <c r="J283" s="2"/>
      <c r="K283" s="2">
        <v>1</v>
      </c>
      <c r="L283" s="2"/>
      <c r="M283" s="95">
        <v>45143</v>
      </c>
      <c r="N283" s="2"/>
      <c r="O283" s="2"/>
      <c r="P283" s="2" t="s">
        <v>4535</v>
      </c>
      <c r="Q283" s="95">
        <v>45174</v>
      </c>
      <c r="R283" s="74" t="s">
        <v>123</v>
      </c>
      <c r="S283" s="137">
        <v>45204</v>
      </c>
      <c r="T283" t="s">
        <v>4536</v>
      </c>
    </row>
    <row r="284" spans="1:20" x14ac:dyDescent="0.3">
      <c r="A284" t="s">
        <v>38</v>
      </c>
      <c r="B284" s="316" t="s">
        <v>4408</v>
      </c>
      <c r="C284" s="262" t="s">
        <v>4537</v>
      </c>
      <c r="D284" s="2" t="s">
        <v>4147</v>
      </c>
      <c r="E284" s="19" t="s">
        <v>4538</v>
      </c>
      <c r="F284" s="2" t="s">
        <v>4245</v>
      </c>
      <c r="G284" s="2" t="s">
        <v>3822</v>
      </c>
      <c r="H284" s="7" t="s">
        <v>4410</v>
      </c>
      <c r="I284" s="10">
        <v>35</v>
      </c>
      <c r="J284" s="95">
        <v>45050</v>
      </c>
      <c r="K284" s="5">
        <v>2</v>
      </c>
      <c r="L284" s="5">
        <v>20</v>
      </c>
      <c r="M284" s="95" t="s">
        <v>4424</v>
      </c>
      <c r="N284" s="95">
        <v>45112</v>
      </c>
      <c r="O284" s="2" t="s">
        <v>4539</v>
      </c>
      <c r="P284" s="2" t="s">
        <v>28</v>
      </c>
      <c r="Q284" s="95">
        <v>45264</v>
      </c>
      <c r="R284" s="339" t="s">
        <v>38</v>
      </c>
      <c r="S284" s="339">
        <v>45235</v>
      </c>
    </row>
    <row r="285" spans="1:20" ht="28.8" x14ac:dyDescent="0.3">
      <c r="A285" t="s">
        <v>60</v>
      </c>
      <c r="B285" s="331" t="s">
        <v>4540</v>
      </c>
      <c r="C285" s="2" t="s">
        <v>4541</v>
      </c>
      <c r="D285" s="19" t="s">
        <v>4542</v>
      </c>
      <c r="E285" s="16" t="s">
        <v>4543</v>
      </c>
      <c r="F285" s="287">
        <v>45020</v>
      </c>
      <c r="G285" s="252" t="s">
        <v>1318</v>
      </c>
      <c r="H285" s="19" t="s">
        <v>4544</v>
      </c>
      <c r="I285" s="44">
        <v>20</v>
      </c>
      <c r="J285" s="286">
        <v>45264</v>
      </c>
      <c r="K285" s="252">
        <v>1</v>
      </c>
      <c r="L285" s="252">
        <v>20</v>
      </c>
      <c r="M285" s="286" t="s">
        <v>4459</v>
      </c>
      <c r="N285" s="287" t="s">
        <v>4462</v>
      </c>
      <c r="O285" s="252" t="s">
        <v>4530</v>
      </c>
      <c r="P285" s="252" t="s">
        <v>28</v>
      </c>
      <c r="Q285" s="286">
        <v>45174</v>
      </c>
      <c r="R285" s="74" t="s">
        <v>60</v>
      </c>
      <c r="S285" s="137">
        <v>45235</v>
      </c>
    </row>
    <row r="286" spans="1:20" ht="55.2" x14ac:dyDescent="0.3">
      <c r="A286" t="s">
        <v>123</v>
      </c>
      <c r="B286" s="304" t="s">
        <v>166</v>
      </c>
      <c r="C286" s="219" t="s">
        <v>4545</v>
      </c>
      <c r="D286" s="342">
        <v>45021</v>
      </c>
      <c r="E286" s="19" t="s">
        <v>4546</v>
      </c>
      <c r="F286" s="95">
        <v>44990</v>
      </c>
      <c r="G286" s="2"/>
      <c r="H286" s="2" t="s">
        <v>4547</v>
      </c>
      <c r="I286" s="241">
        <v>60</v>
      </c>
      <c r="J286" s="2"/>
      <c r="K286" s="2">
        <v>2</v>
      </c>
      <c r="L286" s="2"/>
      <c r="M286" s="95">
        <v>45174</v>
      </c>
      <c r="N286" s="2"/>
      <c r="O286" s="2"/>
      <c r="P286" s="2" t="s">
        <v>4548</v>
      </c>
      <c r="Q286" s="2" t="s">
        <v>4549</v>
      </c>
      <c r="R286" s="74" t="s">
        <v>123</v>
      </c>
      <c r="S286" s="137">
        <v>45235</v>
      </c>
    </row>
    <row r="287" spans="1:20" ht="57.6" x14ac:dyDescent="0.3">
      <c r="A287" t="s">
        <v>287</v>
      </c>
      <c r="B287" s="252" t="s">
        <v>81</v>
      </c>
      <c r="C287" s="252" t="s">
        <v>486</v>
      </c>
      <c r="D287" s="252"/>
      <c r="E287" s="262">
        <v>117551</v>
      </c>
      <c r="F287" s="252" t="s">
        <v>4479</v>
      </c>
      <c r="G287" s="2"/>
      <c r="H287" s="2" t="s">
        <v>2703</v>
      </c>
      <c r="I287" s="250">
        <v>190</v>
      </c>
      <c r="J287" s="2"/>
      <c r="K287" s="2"/>
      <c r="L287" s="2"/>
      <c r="N287" s="252" t="s">
        <v>4489</v>
      </c>
      <c r="O287" s="2"/>
      <c r="P287" s="2" t="s">
        <v>4550</v>
      </c>
      <c r="Q287" s="2" t="s">
        <v>4551</v>
      </c>
      <c r="R287" s="18" t="s">
        <v>4552</v>
      </c>
    </row>
    <row r="288" spans="1:20" ht="28.8" x14ac:dyDescent="0.3">
      <c r="A288" t="s">
        <v>123</v>
      </c>
      <c r="B288" s="25" t="s">
        <v>124</v>
      </c>
      <c r="C288" s="219" t="s">
        <v>4553</v>
      </c>
      <c r="D288" s="112">
        <v>44990</v>
      </c>
      <c r="E288" s="262" t="s">
        <v>4554</v>
      </c>
      <c r="F288" s="251" t="s">
        <v>1562</v>
      </c>
      <c r="G288" s="2" t="s">
        <v>1767</v>
      </c>
      <c r="H288" s="25" t="s">
        <v>4534</v>
      </c>
      <c r="I288" s="344">
        <v>20</v>
      </c>
      <c r="J288" s="2"/>
      <c r="K288" s="2"/>
      <c r="L288" s="2"/>
      <c r="M288" s="112">
        <v>45265</v>
      </c>
      <c r="N288" s="2" t="s">
        <v>4530</v>
      </c>
      <c r="O288" s="2">
        <v>2</v>
      </c>
      <c r="P288" s="2" t="s">
        <v>4555</v>
      </c>
      <c r="Q288" s="2" t="s">
        <v>4556</v>
      </c>
      <c r="R288" s="74" t="s">
        <v>4530</v>
      </c>
      <c r="S288" s="74" t="s">
        <v>4557</v>
      </c>
    </row>
    <row r="289" spans="1:21" ht="28.8" x14ac:dyDescent="0.3">
      <c r="A289" t="s">
        <v>60</v>
      </c>
      <c r="B289" s="261" t="s">
        <v>3876</v>
      </c>
      <c r="C289" s="252" t="s">
        <v>4558</v>
      </c>
      <c r="D289" s="345">
        <v>45235</v>
      </c>
      <c r="E289" s="251">
        <v>5972</v>
      </c>
      <c r="F289" s="345">
        <v>44990</v>
      </c>
      <c r="G289" s="252" t="s">
        <v>1296</v>
      </c>
      <c r="H289" s="252" t="s">
        <v>4559</v>
      </c>
      <c r="I289" s="252">
        <v>12</v>
      </c>
      <c r="J289" s="252"/>
      <c r="K289" s="252"/>
      <c r="L289" s="252"/>
      <c r="M289" s="286">
        <v>45235</v>
      </c>
      <c r="N289" s="252"/>
      <c r="O289" s="252"/>
      <c r="P289" s="252" t="s">
        <v>121</v>
      </c>
      <c r="Q289" s="286">
        <v>45235</v>
      </c>
      <c r="R289" s="282" t="s">
        <v>191</v>
      </c>
      <c r="S289" s="320">
        <v>45265</v>
      </c>
    </row>
    <row r="290" spans="1:21" x14ac:dyDescent="0.3">
      <c r="A290" t="s">
        <v>38</v>
      </c>
      <c r="B290" s="27" t="s">
        <v>1352</v>
      </c>
      <c r="C290" s="2" t="s">
        <v>4560</v>
      </c>
      <c r="D290" s="95">
        <v>45050</v>
      </c>
      <c r="E290" s="2" t="s">
        <v>4561</v>
      </c>
      <c r="F290" s="95">
        <v>45202</v>
      </c>
      <c r="G290" s="2" t="s">
        <v>1355</v>
      </c>
      <c r="H290" s="2" t="s">
        <v>4506</v>
      </c>
      <c r="I290" s="2">
        <v>470</v>
      </c>
      <c r="J290" s="19"/>
      <c r="K290" s="34">
        <v>20</v>
      </c>
      <c r="L290" s="5">
        <v>20</v>
      </c>
      <c r="M290" s="95">
        <v>45021</v>
      </c>
      <c r="N290" s="95">
        <v>45265</v>
      </c>
      <c r="O290" s="2" t="s">
        <v>4562</v>
      </c>
      <c r="P290" s="2" t="s">
        <v>516</v>
      </c>
      <c r="Q290" s="2" t="s">
        <v>4563</v>
      </c>
      <c r="R290" s="74" t="s">
        <v>38</v>
      </c>
      <c r="S290" s="74" t="s">
        <v>4564</v>
      </c>
    </row>
    <row r="291" spans="1:21" x14ac:dyDescent="0.3">
      <c r="A291" t="s">
        <v>38</v>
      </c>
      <c r="B291" s="27" t="s">
        <v>652</v>
      </c>
      <c r="C291" s="2" t="s">
        <v>4510</v>
      </c>
      <c r="D291" s="2" t="s">
        <v>4565</v>
      </c>
      <c r="E291" s="25" t="s">
        <v>4566</v>
      </c>
      <c r="F291" s="2" t="s">
        <v>4108</v>
      </c>
      <c r="G291" s="2" t="s">
        <v>4512</v>
      </c>
      <c r="H291" s="25" t="s">
        <v>1368</v>
      </c>
      <c r="I291" s="2">
        <v>475.79599999999999</v>
      </c>
      <c r="J291" s="95">
        <v>44989</v>
      </c>
      <c r="K291" s="34">
        <v>20</v>
      </c>
      <c r="L291" s="5">
        <v>20</v>
      </c>
      <c r="M291" s="95" t="s">
        <v>4467</v>
      </c>
      <c r="N291" s="95" t="s">
        <v>4530</v>
      </c>
      <c r="O291" s="2" t="s">
        <v>4567</v>
      </c>
      <c r="P291" s="2" t="s">
        <v>516</v>
      </c>
      <c r="Q291" s="2" t="s">
        <v>4518</v>
      </c>
      <c r="R291" s="18" t="s">
        <v>4456</v>
      </c>
      <c r="S291" s="137" t="s">
        <v>4568</v>
      </c>
      <c r="T291" s="74" t="s">
        <v>4569</v>
      </c>
    </row>
    <row r="292" spans="1:21" ht="55.2" x14ac:dyDescent="0.3">
      <c r="A292" t="s">
        <v>123</v>
      </c>
      <c r="B292" s="304" t="s">
        <v>166</v>
      </c>
      <c r="C292" s="219" t="s">
        <v>4570</v>
      </c>
      <c r="D292" s="219" t="s">
        <v>4571</v>
      </c>
      <c r="E292" s="347" t="s">
        <v>4572</v>
      </c>
      <c r="F292" s="95">
        <v>45265</v>
      </c>
      <c r="G292" s="2" t="s">
        <v>1296</v>
      </c>
      <c r="H292" s="2" t="s">
        <v>4332</v>
      </c>
      <c r="I292" s="241">
        <v>28</v>
      </c>
      <c r="J292" s="2"/>
      <c r="K292" s="2">
        <v>1</v>
      </c>
      <c r="L292" s="2"/>
      <c r="M292" s="2" t="s">
        <v>4564</v>
      </c>
      <c r="N292" s="2"/>
      <c r="O292" s="2"/>
      <c r="P292" s="2" t="s">
        <v>4573</v>
      </c>
      <c r="Q292" s="2" t="s">
        <v>4574</v>
      </c>
      <c r="R292" s="18" t="s">
        <v>123</v>
      </c>
      <c r="S292" s="18" t="s">
        <v>1347</v>
      </c>
    </row>
    <row r="293" spans="1:21" ht="28.8" x14ac:dyDescent="0.3">
      <c r="A293" t="s">
        <v>60</v>
      </c>
      <c r="B293" s="261" t="s">
        <v>4575</v>
      </c>
      <c r="C293" s="252" t="s">
        <v>4576</v>
      </c>
      <c r="D293" s="345">
        <v>45174</v>
      </c>
      <c r="E293" s="251">
        <v>224412471</v>
      </c>
      <c r="F293" s="252" t="s">
        <v>4247</v>
      </c>
      <c r="G293" s="252" t="s">
        <v>4577</v>
      </c>
      <c r="H293" s="252" t="s">
        <v>513</v>
      </c>
      <c r="I293" s="252">
        <v>49.984000000000002</v>
      </c>
      <c r="J293" s="252"/>
      <c r="K293" s="252">
        <v>2</v>
      </c>
      <c r="L293" s="252">
        <v>20</v>
      </c>
      <c r="M293" s="252" t="s">
        <v>4489</v>
      </c>
      <c r="N293" s="287" t="s">
        <v>4564</v>
      </c>
      <c r="O293" s="252" t="s">
        <v>1394</v>
      </c>
      <c r="P293" s="252" t="s">
        <v>121</v>
      </c>
      <c r="Q293" s="286">
        <v>45265</v>
      </c>
      <c r="R293" s="282" t="s">
        <v>191</v>
      </c>
      <c r="S293" s="320" t="s">
        <v>4578</v>
      </c>
      <c r="T293" s="282" t="s">
        <v>4275</v>
      </c>
    </row>
    <row r="294" spans="1:21" ht="28.8" x14ac:dyDescent="0.3">
      <c r="A294" t="s">
        <v>60</v>
      </c>
      <c r="B294" s="261" t="s">
        <v>4575</v>
      </c>
      <c r="C294" s="252" t="s">
        <v>4579</v>
      </c>
      <c r="D294" s="345">
        <v>45204</v>
      </c>
      <c r="E294" s="251">
        <v>224412455</v>
      </c>
      <c r="F294" s="252" t="s">
        <v>4247</v>
      </c>
      <c r="G294" s="252" t="s">
        <v>4577</v>
      </c>
      <c r="H294" s="252" t="s">
        <v>513</v>
      </c>
      <c r="I294" s="252">
        <v>49.984000000000002</v>
      </c>
      <c r="J294" s="252"/>
      <c r="K294" s="252">
        <v>2</v>
      </c>
      <c r="L294" s="252">
        <v>20</v>
      </c>
      <c r="M294" s="252" t="s">
        <v>4489</v>
      </c>
      <c r="N294" s="287" t="s">
        <v>4564</v>
      </c>
      <c r="O294" s="252" t="s">
        <v>1394</v>
      </c>
      <c r="P294" s="252" t="s">
        <v>121</v>
      </c>
      <c r="Q294" s="286">
        <v>45265</v>
      </c>
      <c r="R294" s="282" t="s">
        <v>191</v>
      </c>
      <c r="S294" s="320" t="s">
        <v>4578</v>
      </c>
    </row>
    <row r="295" spans="1:21" ht="28.8" x14ac:dyDescent="0.3">
      <c r="A295" t="s">
        <v>60</v>
      </c>
      <c r="B295" s="261" t="s">
        <v>4575</v>
      </c>
      <c r="C295" s="252" t="s">
        <v>4580</v>
      </c>
      <c r="D295" s="283"/>
      <c r="E295" s="251">
        <v>224412441</v>
      </c>
      <c r="F295" s="252" t="s">
        <v>4247</v>
      </c>
      <c r="G295" s="252" t="s">
        <v>4577</v>
      </c>
      <c r="H295" s="252" t="s">
        <v>513</v>
      </c>
      <c r="I295" s="252">
        <v>49.984000000000002</v>
      </c>
      <c r="J295" s="252"/>
      <c r="K295" s="252">
        <v>2</v>
      </c>
      <c r="L295" s="252">
        <v>20</v>
      </c>
      <c r="M295" s="252" t="s">
        <v>4489</v>
      </c>
      <c r="N295" s="287" t="s">
        <v>4564</v>
      </c>
      <c r="O295" s="252" t="s">
        <v>1394</v>
      </c>
      <c r="P295" s="252" t="s">
        <v>28</v>
      </c>
      <c r="Q295" s="252" t="s">
        <v>1347</v>
      </c>
      <c r="R295" s="282" t="s">
        <v>191</v>
      </c>
      <c r="S295" s="320" t="s">
        <v>4581</v>
      </c>
      <c r="T295" s="282" t="s">
        <v>4275</v>
      </c>
    </row>
    <row r="296" spans="1:21" x14ac:dyDescent="0.3">
      <c r="A296" t="s">
        <v>38</v>
      </c>
      <c r="B296" s="36" t="s">
        <v>1418</v>
      </c>
      <c r="C296" s="2" t="s">
        <v>4582</v>
      </c>
      <c r="D296" s="2" t="s">
        <v>4312</v>
      </c>
      <c r="E296" s="19">
        <v>222135623</v>
      </c>
      <c r="F296" s="95">
        <v>44691</v>
      </c>
      <c r="G296" s="2" t="s">
        <v>4217</v>
      </c>
      <c r="H296" s="20" t="s">
        <v>4218</v>
      </c>
      <c r="I296" s="20">
        <v>280.38</v>
      </c>
      <c r="J296" s="2"/>
      <c r="K296" s="34">
        <v>10</v>
      </c>
      <c r="L296" s="5">
        <v>40</v>
      </c>
      <c r="M296" s="2"/>
      <c r="N296" s="19" t="s">
        <v>4010</v>
      </c>
      <c r="O296" s="112">
        <v>44932</v>
      </c>
      <c r="P296" s="2" t="s">
        <v>28</v>
      </c>
      <c r="Q296" s="2" t="s">
        <v>4568</v>
      </c>
      <c r="R296" s="282" t="s">
        <v>1428</v>
      </c>
      <c r="S296" s="320" t="s">
        <v>4581</v>
      </c>
    </row>
    <row r="297" spans="1:21" ht="15.6" x14ac:dyDescent="0.3">
      <c r="A297" t="s">
        <v>38</v>
      </c>
      <c r="B297" s="2" t="s">
        <v>2402</v>
      </c>
      <c r="C297" s="2" t="s">
        <v>3896</v>
      </c>
      <c r="D297" s="252"/>
      <c r="E297" s="252" t="s">
        <v>4583</v>
      </c>
      <c r="F297" s="287">
        <v>45235</v>
      </c>
      <c r="G297" s="252" t="s">
        <v>1296</v>
      </c>
      <c r="H297" s="2" t="s">
        <v>1768</v>
      </c>
      <c r="I297" s="348">
        <v>2</v>
      </c>
      <c r="J297" s="252"/>
      <c r="K297" s="252"/>
      <c r="L297" s="252"/>
      <c r="M297" s="252" t="s">
        <v>4539</v>
      </c>
      <c r="N297" s="252"/>
      <c r="O297" s="252"/>
      <c r="P297" s="252" t="s">
        <v>121</v>
      </c>
      <c r="Q297" s="252" t="s">
        <v>4578</v>
      </c>
      <c r="R297" s="282" t="s">
        <v>38</v>
      </c>
      <c r="S297" s="320" t="s">
        <v>1396</v>
      </c>
    </row>
    <row r="298" spans="1:21" ht="15.6" x14ac:dyDescent="0.3">
      <c r="A298" t="s">
        <v>38</v>
      </c>
      <c r="B298" s="2" t="s">
        <v>2402</v>
      </c>
      <c r="C298" s="2" t="s">
        <v>3896</v>
      </c>
      <c r="D298" s="252"/>
      <c r="E298" s="252" t="s">
        <v>4583</v>
      </c>
      <c r="F298" s="287">
        <v>45235</v>
      </c>
      <c r="G298" s="252" t="s">
        <v>1296</v>
      </c>
      <c r="H298" s="2" t="s">
        <v>4584</v>
      </c>
      <c r="I298" s="348">
        <v>1</v>
      </c>
      <c r="J298" s="252"/>
      <c r="K298" s="252"/>
      <c r="L298" s="252"/>
      <c r="M298" s="252" t="s">
        <v>4539</v>
      </c>
      <c r="N298" s="252"/>
      <c r="O298" s="252"/>
      <c r="P298" s="252" t="s">
        <v>121</v>
      </c>
      <c r="Q298" s="252" t="s">
        <v>4578</v>
      </c>
      <c r="R298" s="282" t="s">
        <v>38</v>
      </c>
      <c r="S298" s="320" t="s">
        <v>1396</v>
      </c>
    </row>
    <row r="299" spans="1:21" ht="15.6" x14ac:dyDescent="0.3">
      <c r="A299" t="s">
        <v>38</v>
      </c>
      <c r="B299" s="2" t="s">
        <v>2402</v>
      </c>
      <c r="C299" s="2" t="s">
        <v>3896</v>
      </c>
      <c r="D299" s="252"/>
      <c r="E299" s="252" t="s">
        <v>4583</v>
      </c>
      <c r="F299" s="287">
        <v>45235</v>
      </c>
      <c r="G299" s="252" t="s">
        <v>1296</v>
      </c>
      <c r="H299" s="2" t="s">
        <v>4585</v>
      </c>
      <c r="I299" s="348">
        <v>2</v>
      </c>
      <c r="J299" s="252"/>
      <c r="K299" s="252"/>
      <c r="L299" s="252"/>
      <c r="M299" s="252" t="s">
        <v>4539</v>
      </c>
      <c r="N299" s="252"/>
      <c r="O299" s="252"/>
      <c r="P299" s="252" t="s">
        <v>121</v>
      </c>
      <c r="Q299" s="252" t="s">
        <v>4578</v>
      </c>
      <c r="R299" s="282" t="s">
        <v>38</v>
      </c>
      <c r="S299" s="320" t="s">
        <v>1396</v>
      </c>
    </row>
    <row r="300" spans="1:21" ht="43.2" x14ac:dyDescent="0.3">
      <c r="A300" t="s">
        <v>38</v>
      </c>
      <c r="B300" s="27" t="s">
        <v>4502</v>
      </c>
      <c r="C300" s="252" t="s">
        <v>4503</v>
      </c>
      <c r="D300" s="252" t="s">
        <v>4350</v>
      </c>
      <c r="E300" s="261" t="s">
        <v>4586</v>
      </c>
      <c r="F300" s="252" t="s">
        <v>4296</v>
      </c>
      <c r="G300" s="252" t="s">
        <v>4505</v>
      </c>
      <c r="H300" s="252" t="s">
        <v>4506</v>
      </c>
      <c r="I300" s="252">
        <v>22.695</v>
      </c>
      <c r="J300" s="251" t="s">
        <v>4468</v>
      </c>
      <c r="K300" s="283">
        <v>1</v>
      </c>
      <c r="L300" s="283">
        <v>20</v>
      </c>
      <c r="M300" s="287">
        <v>45174</v>
      </c>
      <c r="N300" s="95" t="s">
        <v>4581</v>
      </c>
      <c r="O300" s="112">
        <v>44963</v>
      </c>
      <c r="P300" s="252" t="s">
        <v>121</v>
      </c>
      <c r="Q300" s="251" t="s">
        <v>4468</v>
      </c>
      <c r="R300" t="s">
        <v>38</v>
      </c>
      <c r="S300" t="s">
        <v>4562</v>
      </c>
    </row>
    <row r="301" spans="1:21" x14ac:dyDescent="0.3">
      <c r="A301" t="s">
        <v>38</v>
      </c>
      <c r="B301" s="27" t="s">
        <v>4426</v>
      </c>
      <c r="C301" s="2" t="s">
        <v>4587</v>
      </c>
      <c r="D301" s="2" t="s">
        <v>4337</v>
      </c>
      <c r="E301" s="27" t="s">
        <v>4588</v>
      </c>
      <c r="F301" s="95">
        <v>44988</v>
      </c>
      <c r="G301" s="2" t="s">
        <v>1996</v>
      </c>
      <c r="H301" s="25" t="s">
        <v>1346</v>
      </c>
      <c r="I301" s="111">
        <v>91.816000000000003</v>
      </c>
      <c r="J301" s="2" t="s">
        <v>4496</v>
      </c>
      <c r="K301" s="34">
        <v>4</v>
      </c>
      <c r="L301" s="5">
        <v>20</v>
      </c>
      <c r="M301" s="95">
        <v>45174</v>
      </c>
      <c r="N301" s="95" t="s">
        <v>4567</v>
      </c>
      <c r="O301" s="156">
        <v>45083</v>
      </c>
      <c r="P301" s="2" t="s">
        <v>28</v>
      </c>
      <c r="Q301" s="95">
        <v>44931</v>
      </c>
      <c r="R301" t="s">
        <v>38</v>
      </c>
      <c r="S301" t="s">
        <v>4562</v>
      </c>
    </row>
    <row r="302" spans="1:21" x14ac:dyDescent="0.3">
      <c r="A302" t="s">
        <v>38</v>
      </c>
      <c r="B302" s="27" t="s">
        <v>4589</v>
      </c>
      <c r="C302" s="2" t="s">
        <v>4590</v>
      </c>
      <c r="D302" s="95">
        <v>45050</v>
      </c>
      <c r="E302" s="27" t="s">
        <v>4591</v>
      </c>
      <c r="F302" s="95">
        <v>44988</v>
      </c>
      <c r="G302" s="2" t="s">
        <v>4592</v>
      </c>
      <c r="H302" s="2" t="s">
        <v>3697</v>
      </c>
      <c r="I302" s="2">
        <v>275.73399999999998</v>
      </c>
      <c r="J302" s="19" t="s">
        <v>4489</v>
      </c>
      <c r="K302" s="34">
        <v>12</v>
      </c>
      <c r="L302" s="5">
        <v>20</v>
      </c>
      <c r="M302" s="95">
        <v>45204</v>
      </c>
      <c r="N302" s="95" t="s">
        <v>4581</v>
      </c>
      <c r="O302" s="112">
        <v>45083</v>
      </c>
      <c r="P302" s="2" t="s">
        <v>28</v>
      </c>
      <c r="Q302" s="19" t="s">
        <v>4562</v>
      </c>
      <c r="R302" t="s">
        <v>38</v>
      </c>
      <c r="S302" t="s">
        <v>4593</v>
      </c>
    </row>
    <row r="303" spans="1:21" x14ac:dyDescent="0.3">
      <c r="A303" t="s">
        <v>38</v>
      </c>
      <c r="B303" s="27" t="s">
        <v>4589</v>
      </c>
      <c r="C303" s="2" t="s">
        <v>4590</v>
      </c>
      <c r="D303" s="95">
        <v>45050</v>
      </c>
      <c r="E303" s="27" t="s">
        <v>4594</v>
      </c>
      <c r="F303" s="95">
        <v>44988</v>
      </c>
      <c r="G303" s="2" t="s">
        <v>4592</v>
      </c>
      <c r="H303" s="2" t="s">
        <v>3697</v>
      </c>
      <c r="I303" s="2">
        <v>230.268</v>
      </c>
      <c r="J303" s="19" t="s">
        <v>4489</v>
      </c>
      <c r="K303" s="34">
        <v>10</v>
      </c>
      <c r="L303" s="5">
        <v>20</v>
      </c>
      <c r="M303" s="95">
        <v>45174</v>
      </c>
      <c r="N303" s="95" t="s">
        <v>4581</v>
      </c>
      <c r="O303" s="112">
        <v>45083</v>
      </c>
      <c r="P303" s="2" t="s">
        <v>28</v>
      </c>
      <c r="Q303" s="19" t="s">
        <v>4562</v>
      </c>
      <c r="R303" t="s">
        <v>38</v>
      </c>
      <c r="S303" t="s">
        <v>4593</v>
      </c>
    </row>
    <row r="304" spans="1:21" x14ac:dyDescent="0.3">
      <c r="A304" t="s">
        <v>38</v>
      </c>
      <c r="B304" s="27" t="s">
        <v>3670</v>
      </c>
      <c r="C304" s="2" t="s">
        <v>4595</v>
      </c>
      <c r="D304" s="95">
        <v>45049</v>
      </c>
      <c r="E304" s="2" t="s">
        <v>4596</v>
      </c>
      <c r="F304" s="2" t="s">
        <v>4341</v>
      </c>
      <c r="G304" s="2" t="s">
        <v>1318</v>
      </c>
      <c r="H304" s="25" t="s">
        <v>4597</v>
      </c>
      <c r="I304" s="111">
        <v>8447</v>
      </c>
      <c r="J304" s="2" t="s">
        <v>4312</v>
      </c>
      <c r="K304" s="34">
        <v>1</v>
      </c>
      <c r="L304" s="5">
        <v>20</v>
      </c>
      <c r="M304" s="19" t="s">
        <v>4342</v>
      </c>
      <c r="N304" s="95">
        <v>45081</v>
      </c>
      <c r="O304" s="44" t="s">
        <v>4446</v>
      </c>
      <c r="P304" s="2" t="s">
        <v>121</v>
      </c>
      <c r="Q304" s="95">
        <v>44989</v>
      </c>
      <c r="R304" t="s">
        <v>4598</v>
      </c>
      <c r="S304" s="137" t="s">
        <v>4412</v>
      </c>
      <c r="T304" t="s">
        <v>38</v>
      </c>
      <c r="U304" t="s">
        <v>4593</v>
      </c>
    </row>
    <row r="305" spans="1:20" ht="55.2" x14ac:dyDescent="0.3">
      <c r="A305" t="s">
        <v>49</v>
      </c>
      <c r="B305" s="304" t="s">
        <v>166</v>
      </c>
      <c r="C305" s="219" t="s">
        <v>4599</v>
      </c>
      <c r="D305" s="169">
        <v>45235</v>
      </c>
      <c r="E305" s="349" t="s">
        <v>4600</v>
      </c>
      <c r="F305" s="2" t="s">
        <v>1347</v>
      </c>
      <c r="G305" s="2" t="s">
        <v>1938</v>
      </c>
      <c r="H305" s="2" t="s">
        <v>4547</v>
      </c>
      <c r="I305" s="241">
        <v>56</v>
      </c>
      <c r="J305" s="2"/>
      <c r="K305" s="2">
        <v>2</v>
      </c>
      <c r="L305" s="2"/>
      <c r="M305" s="2" t="s">
        <v>1396</v>
      </c>
      <c r="N305" s="2"/>
      <c r="O305" s="2"/>
      <c r="P305" s="2" t="s">
        <v>28</v>
      </c>
      <c r="Q305" s="266" t="s">
        <v>4601</v>
      </c>
      <c r="R305" s="18" t="s">
        <v>49</v>
      </c>
      <c r="S305" s="18" t="s">
        <v>4602</v>
      </c>
    </row>
    <row r="306" spans="1:20" ht="27.6" x14ac:dyDescent="0.3">
      <c r="A306" t="s">
        <v>49</v>
      </c>
      <c r="B306" s="304" t="s">
        <v>4137</v>
      </c>
      <c r="C306" s="262" t="s">
        <v>4603</v>
      </c>
      <c r="D306" s="5" t="s">
        <v>4564</v>
      </c>
      <c r="E306" s="262" t="s">
        <v>4604</v>
      </c>
      <c r="F306" s="2" t="s">
        <v>1396</v>
      </c>
      <c r="G306" s="2" t="s">
        <v>1938</v>
      </c>
      <c r="H306" s="2" t="s">
        <v>4605</v>
      </c>
      <c r="I306" s="241">
        <v>10</v>
      </c>
      <c r="J306" s="2"/>
      <c r="K306" s="2">
        <v>1</v>
      </c>
      <c r="L306" s="2"/>
      <c r="M306" s="2" t="s">
        <v>1396</v>
      </c>
      <c r="N306" s="2"/>
      <c r="O306" s="2"/>
      <c r="P306" s="2" t="s">
        <v>121</v>
      </c>
      <c r="Q306" s="2" t="s">
        <v>4606</v>
      </c>
      <c r="R306" s="74" t="s">
        <v>49</v>
      </c>
      <c r="S306" s="74" t="s">
        <v>4602</v>
      </c>
    </row>
    <row r="307" spans="1:20" ht="15.6" x14ac:dyDescent="0.3">
      <c r="A307" t="s">
        <v>55</v>
      </c>
      <c r="B307" s="11" t="s">
        <v>4253</v>
      </c>
      <c r="C307" s="6" t="s">
        <v>3437</v>
      </c>
      <c r="D307" s="2"/>
      <c r="E307" s="2"/>
      <c r="F307" s="2"/>
      <c r="G307" s="2"/>
      <c r="H307" s="7" t="s">
        <v>865</v>
      </c>
      <c r="I307" s="10">
        <v>33</v>
      </c>
      <c r="J307" s="2"/>
      <c r="K307" s="2"/>
      <c r="L307" s="2"/>
      <c r="M307" s="2"/>
      <c r="N307" s="2"/>
      <c r="O307" s="2"/>
      <c r="P307" s="2" t="s">
        <v>121</v>
      </c>
      <c r="Q307" s="2"/>
      <c r="R307" s="74" t="s">
        <v>55</v>
      </c>
      <c r="S307" t="s">
        <v>1394</v>
      </c>
    </row>
    <row r="308" spans="1:20" x14ac:dyDescent="0.3">
      <c r="A308" t="s">
        <v>123</v>
      </c>
      <c r="B308" s="25" t="s">
        <v>124</v>
      </c>
      <c r="C308" s="219" t="s">
        <v>4607</v>
      </c>
      <c r="D308" s="219" t="s">
        <v>4608</v>
      </c>
      <c r="E308" s="2" t="s">
        <v>3544</v>
      </c>
      <c r="F308" s="2" t="s">
        <v>1396</v>
      </c>
      <c r="G308" s="2" t="s">
        <v>1340</v>
      </c>
      <c r="H308" s="2" t="s">
        <v>1678</v>
      </c>
      <c r="I308" s="241">
        <v>30</v>
      </c>
      <c r="J308" s="2"/>
      <c r="K308" s="2">
        <v>1</v>
      </c>
      <c r="L308" s="2"/>
      <c r="M308" s="2" t="s">
        <v>1394</v>
      </c>
      <c r="N308" s="2"/>
      <c r="O308" s="2"/>
      <c r="P308" s="2" t="s">
        <v>4609</v>
      </c>
      <c r="Q308" s="2" t="s">
        <v>4610</v>
      </c>
      <c r="R308" s="74" t="s">
        <v>1508</v>
      </c>
      <c r="S308" s="74" t="s">
        <v>123</v>
      </c>
      <c r="T308" s="74" t="s">
        <v>4611</v>
      </c>
    </row>
    <row r="309" spans="1:20" x14ac:dyDescent="0.3">
      <c r="A309" t="s">
        <v>38</v>
      </c>
      <c r="B309" s="27" t="s">
        <v>4589</v>
      </c>
      <c r="C309" s="323" t="s">
        <v>4612</v>
      </c>
      <c r="D309" s="2" t="s">
        <v>4449</v>
      </c>
      <c r="E309" s="25" t="s">
        <v>4613</v>
      </c>
      <c r="F309" s="2" t="s">
        <v>4296</v>
      </c>
      <c r="G309" s="2" t="s">
        <v>4614</v>
      </c>
      <c r="H309" s="2" t="s">
        <v>3697</v>
      </c>
      <c r="I309" s="2">
        <v>272.50299999999999</v>
      </c>
      <c r="J309" s="19"/>
      <c r="K309" s="34">
        <v>12</v>
      </c>
      <c r="L309" s="5">
        <v>20</v>
      </c>
      <c r="M309" s="95">
        <v>45174</v>
      </c>
      <c r="N309" s="95" t="s">
        <v>4581</v>
      </c>
      <c r="O309" s="112">
        <v>45113</v>
      </c>
      <c r="P309" s="2" t="s">
        <v>4615</v>
      </c>
      <c r="Q309" s="19" t="s">
        <v>4616</v>
      </c>
      <c r="R309" s="74" t="s">
        <v>38</v>
      </c>
      <c r="S309" s="137">
        <v>44932</v>
      </c>
    </row>
    <row r="310" spans="1:20" x14ac:dyDescent="0.3">
      <c r="A310" t="s">
        <v>123</v>
      </c>
      <c r="B310" s="25" t="s">
        <v>124</v>
      </c>
      <c r="C310" s="219" t="s">
        <v>4617</v>
      </c>
      <c r="D310" s="2" t="s">
        <v>4618</v>
      </c>
      <c r="E310" s="262" t="s">
        <v>4619</v>
      </c>
      <c r="F310" s="2" t="s">
        <v>4593</v>
      </c>
      <c r="G310" s="2" t="s">
        <v>1340</v>
      </c>
      <c r="H310" s="2" t="s">
        <v>1892</v>
      </c>
      <c r="I310" s="241">
        <v>30</v>
      </c>
      <c r="J310" s="2"/>
      <c r="K310" s="2">
        <v>1</v>
      </c>
      <c r="L310" s="2"/>
      <c r="M310" s="2" t="s">
        <v>1309</v>
      </c>
      <c r="N310" s="2"/>
      <c r="O310" s="2"/>
      <c r="P310" s="2" t="s">
        <v>4620</v>
      </c>
      <c r="Q310" s="2" t="s">
        <v>4621</v>
      </c>
      <c r="R310" s="18" t="s">
        <v>123</v>
      </c>
      <c r="S310" s="137">
        <v>44963</v>
      </c>
    </row>
    <row r="311" spans="1:20" x14ac:dyDescent="0.3">
      <c r="A311" t="s">
        <v>55</v>
      </c>
      <c r="B311" s="27" t="s">
        <v>4589</v>
      </c>
      <c r="C311" s="337" t="s">
        <v>4612</v>
      </c>
      <c r="D311" s="2" t="s">
        <v>4449</v>
      </c>
      <c r="E311" s="2" t="s">
        <v>4622</v>
      </c>
      <c r="F311" s="2" t="s">
        <v>4322</v>
      </c>
      <c r="G311" s="2" t="s">
        <v>4614</v>
      </c>
      <c r="H311" s="2" t="s">
        <v>3697</v>
      </c>
      <c r="I311" s="2">
        <v>228.06200000000001</v>
      </c>
      <c r="J311" s="19"/>
      <c r="K311" s="34">
        <v>10</v>
      </c>
      <c r="L311" s="5">
        <v>20</v>
      </c>
      <c r="M311" s="95">
        <v>45174</v>
      </c>
      <c r="N311" s="95" t="s">
        <v>4602</v>
      </c>
      <c r="O311" s="112">
        <v>45205</v>
      </c>
      <c r="P311" s="2" t="s">
        <v>28</v>
      </c>
      <c r="Q311" s="19" t="s">
        <v>4616</v>
      </c>
      <c r="R311" s="74" t="s">
        <v>55</v>
      </c>
      <c r="S311" s="137">
        <v>45022</v>
      </c>
    </row>
    <row r="312" spans="1:20" ht="43.2" x14ac:dyDescent="0.3">
      <c r="A312" t="s">
        <v>60</v>
      </c>
      <c r="B312" s="261" t="s">
        <v>2686</v>
      </c>
      <c r="C312" s="252" t="s">
        <v>4623</v>
      </c>
      <c r="D312" s="283" t="s">
        <v>4380</v>
      </c>
      <c r="E312" s="251">
        <v>226699784</v>
      </c>
      <c r="F312" s="252" t="s">
        <v>4487</v>
      </c>
      <c r="G312" s="252" t="s">
        <v>4624</v>
      </c>
      <c r="H312" s="252" t="s">
        <v>715</v>
      </c>
      <c r="I312" s="252">
        <v>250</v>
      </c>
      <c r="J312" s="252" t="s">
        <v>4568</v>
      </c>
      <c r="K312" s="252">
        <v>10</v>
      </c>
      <c r="L312" s="252">
        <v>20</v>
      </c>
      <c r="M312" s="252" t="s">
        <v>4568</v>
      </c>
      <c r="N312" s="252" t="s">
        <v>1309</v>
      </c>
      <c r="O312" s="286">
        <v>45266</v>
      </c>
      <c r="P312" s="252" t="s">
        <v>28</v>
      </c>
      <c r="Q312" s="286">
        <v>44963</v>
      </c>
      <c r="R312" s="74" t="s">
        <v>191</v>
      </c>
      <c r="S312" s="137">
        <v>45052</v>
      </c>
    </row>
    <row r="313" spans="1:20" x14ac:dyDescent="0.3">
      <c r="A313" t="s">
        <v>123</v>
      </c>
      <c r="B313" s="2" t="s">
        <v>4201</v>
      </c>
      <c r="C313" s="2" t="s">
        <v>4625</v>
      </c>
      <c r="D313" s="112">
        <v>45234</v>
      </c>
      <c r="E313" s="2" t="s">
        <v>4626</v>
      </c>
      <c r="F313" s="95">
        <v>45265</v>
      </c>
      <c r="G313" s="2" t="s">
        <v>1318</v>
      </c>
      <c r="H313" s="112" t="s">
        <v>4627</v>
      </c>
      <c r="I313" s="2">
        <v>32</v>
      </c>
      <c r="J313" s="2" t="s">
        <v>334</v>
      </c>
      <c r="K313" s="2">
        <v>2</v>
      </c>
      <c r="L313" s="2">
        <v>20</v>
      </c>
      <c r="M313" s="2" t="s">
        <v>1347</v>
      </c>
      <c r="N313" s="95">
        <v>44932</v>
      </c>
      <c r="O313" s="2">
        <v>21</v>
      </c>
      <c r="P313" s="2" t="s">
        <v>28</v>
      </c>
      <c r="Q313" s="2" t="s">
        <v>4628</v>
      </c>
      <c r="R313" s="18" t="s">
        <v>4629</v>
      </c>
      <c r="T313" t="s">
        <v>4630</v>
      </c>
    </row>
    <row r="314" spans="1:20" x14ac:dyDescent="0.3">
      <c r="A314" t="s">
        <v>123</v>
      </c>
      <c r="B314" s="2" t="s">
        <v>758</v>
      </c>
      <c r="C314" s="2" t="s">
        <v>4631</v>
      </c>
      <c r="D314" s="112">
        <v>45235</v>
      </c>
      <c r="E314" s="2" t="s">
        <v>4632</v>
      </c>
      <c r="F314" s="2" t="s">
        <v>4578</v>
      </c>
      <c r="G314" s="2" t="s">
        <v>4633</v>
      </c>
      <c r="H314" s="2" t="s">
        <v>764</v>
      </c>
      <c r="I314" s="44" t="s">
        <v>4634</v>
      </c>
      <c r="J314" s="2"/>
      <c r="K314" s="2"/>
      <c r="L314" s="2"/>
      <c r="M314" s="2" t="s">
        <v>4602</v>
      </c>
      <c r="N314" s="2"/>
      <c r="O314" s="2"/>
      <c r="P314" s="2" t="s">
        <v>28</v>
      </c>
      <c r="Q314" s="2" t="s">
        <v>4635</v>
      </c>
      <c r="R314" s="74" t="s">
        <v>4630</v>
      </c>
    </row>
    <row r="315" spans="1:20" ht="57.6" x14ac:dyDescent="0.3">
      <c r="A315" t="s">
        <v>38</v>
      </c>
      <c r="B315" s="36" t="s">
        <v>4515</v>
      </c>
      <c r="C315" s="2" t="s">
        <v>4636</v>
      </c>
      <c r="D315" s="252" t="s">
        <v>4268</v>
      </c>
      <c r="E315" s="2" t="s">
        <v>4637</v>
      </c>
      <c r="F315" s="287">
        <v>44930</v>
      </c>
      <c r="G315" s="252" t="s">
        <v>4212</v>
      </c>
      <c r="H315" s="20" t="s">
        <v>137</v>
      </c>
      <c r="I315" s="20">
        <v>209.12</v>
      </c>
      <c r="J315" s="252"/>
      <c r="K315" s="283">
        <v>10</v>
      </c>
      <c r="L315" s="283">
        <v>20</v>
      </c>
      <c r="M315" s="287" t="s">
        <v>4563</v>
      </c>
      <c r="N315" s="287" t="s">
        <v>4602</v>
      </c>
      <c r="O315" s="286">
        <v>45175</v>
      </c>
      <c r="P315" s="252" t="s">
        <v>28</v>
      </c>
      <c r="Q315" s="252" t="s">
        <v>4562</v>
      </c>
      <c r="R315" s="328" t="s">
        <v>38</v>
      </c>
      <c r="S315" s="137">
        <v>45052</v>
      </c>
    </row>
    <row r="316" spans="1:20" x14ac:dyDescent="0.3">
      <c r="A316" t="s">
        <v>38</v>
      </c>
      <c r="B316" s="27" t="s">
        <v>4638</v>
      </c>
      <c r="C316" s="19" t="s">
        <v>4639</v>
      </c>
      <c r="D316" s="95">
        <v>45202</v>
      </c>
      <c r="E316" s="2" t="s">
        <v>4640</v>
      </c>
      <c r="F316" s="2" t="s">
        <v>4358</v>
      </c>
      <c r="G316" s="2" t="s">
        <v>1355</v>
      </c>
      <c r="H316" s="25" t="s">
        <v>1368</v>
      </c>
      <c r="I316" s="111">
        <v>479.22</v>
      </c>
      <c r="J316" s="95">
        <v>44990</v>
      </c>
      <c r="K316" s="34">
        <v>20</v>
      </c>
      <c r="L316" s="5">
        <v>20</v>
      </c>
      <c r="M316" s="95">
        <v>45235</v>
      </c>
      <c r="N316" s="2" t="s">
        <v>1396</v>
      </c>
      <c r="O316" s="112">
        <v>45205</v>
      </c>
      <c r="P316" s="2" t="s">
        <v>28</v>
      </c>
      <c r="Q316" s="112">
        <v>45083</v>
      </c>
      <c r="R316" t="s">
        <v>38</v>
      </c>
      <c r="S316" s="137">
        <v>45113</v>
      </c>
    </row>
    <row r="317" spans="1:20" x14ac:dyDescent="0.3">
      <c r="A317" t="s">
        <v>38</v>
      </c>
      <c r="B317" s="2" t="s">
        <v>825</v>
      </c>
      <c r="C317" s="2" t="s">
        <v>4641</v>
      </c>
      <c r="D317" s="112">
        <v>45021</v>
      </c>
      <c r="E317" s="2" t="s">
        <v>4642</v>
      </c>
      <c r="F317" s="2" t="s">
        <v>4578</v>
      </c>
      <c r="G317" s="2" t="s">
        <v>1296</v>
      </c>
      <c r="H317" s="25" t="s">
        <v>3885</v>
      </c>
      <c r="I317" s="2">
        <v>10</v>
      </c>
      <c r="J317" s="2"/>
      <c r="K317" s="5">
        <v>1</v>
      </c>
      <c r="L317" s="2"/>
      <c r="M317" s="2" t="s">
        <v>1508</v>
      </c>
      <c r="N317" s="2"/>
      <c r="O317" s="2">
        <v>2</v>
      </c>
      <c r="P317" s="2" t="s">
        <v>28</v>
      </c>
      <c r="Q317" s="2" t="s">
        <v>1309</v>
      </c>
      <c r="R317" s="18" t="s">
        <v>38</v>
      </c>
      <c r="S317" s="137">
        <v>44991</v>
      </c>
    </row>
    <row r="318" spans="1:20" ht="28.8" x14ac:dyDescent="0.3">
      <c r="A318" t="s">
        <v>38</v>
      </c>
      <c r="B318" s="2" t="s">
        <v>891</v>
      </c>
      <c r="C318" s="2" t="s">
        <v>2250</v>
      </c>
      <c r="D318" s="2"/>
      <c r="E318" s="2" t="s">
        <v>4643</v>
      </c>
      <c r="F318" s="2" t="s">
        <v>4593</v>
      </c>
      <c r="G318" s="2" t="s">
        <v>1296</v>
      </c>
      <c r="H318" s="174" t="s">
        <v>4644</v>
      </c>
      <c r="I318" s="266" t="s">
        <v>4645</v>
      </c>
      <c r="J318" s="2"/>
      <c r="K318" s="5">
        <v>1</v>
      </c>
      <c r="L318" s="2"/>
      <c r="M318" s="95">
        <v>45266</v>
      </c>
      <c r="N318" s="2" t="s">
        <v>1423</v>
      </c>
      <c r="O318" s="2"/>
      <c r="P318" s="2" t="s">
        <v>28</v>
      </c>
      <c r="Q318" s="2"/>
      <c r="R318" s="74" t="s">
        <v>55</v>
      </c>
      <c r="S318" s="74" t="s">
        <v>1423</v>
      </c>
    </row>
    <row r="319" spans="1:20" ht="43.2" x14ac:dyDescent="0.3">
      <c r="A319" t="s">
        <v>38</v>
      </c>
      <c r="B319" s="27" t="s">
        <v>4421</v>
      </c>
      <c r="C319" s="19" t="s">
        <v>4422</v>
      </c>
      <c r="D319" s="2" t="s">
        <v>4245</v>
      </c>
      <c r="E319" s="4" t="s">
        <v>4451</v>
      </c>
      <c r="F319" s="95">
        <v>45018</v>
      </c>
      <c r="G319" s="2" t="s">
        <v>1996</v>
      </c>
      <c r="H319" s="25" t="s">
        <v>1346</v>
      </c>
      <c r="I319" s="2">
        <v>140.15</v>
      </c>
      <c r="J319" s="19" t="s">
        <v>4317</v>
      </c>
      <c r="K319" s="34" t="s">
        <v>3066</v>
      </c>
      <c r="L319" s="5">
        <v>20</v>
      </c>
      <c r="M319" s="341" t="s">
        <v>4616</v>
      </c>
      <c r="N319" s="95" t="s">
        <v>4646</v>
      </c>
      <c r="O319" s="2" t="s">
        <v>1500</v>
      </c>
      <c r="P319" s="2" t="s">
        <v>4454</v>
      </c>
      <c r="Q319" s="235" t="s">
        <v>4455</v>
      </c>
      <c r="R319" t="s">
        <v>38</v>
      </c>
      <c r="S319" s="137" t="s">
        <v>4647</v>
      </c>
    </row>
    <row r="320" spans="1:20" ht="57.6" x14ac:dyDescent="0.3">
      <c r="A320" t="s">
        <v>38</v>
      </c>
      <c r="B320" s="27" t="s">
        <v>4421</v>
      </c>
      <c r="C320" s="2" t="s">
        <v>4464</v>
      </c>
      <c r="D320" s="2" t="s">
        <v>4322</v>
      </c>
      <c r="E320" s="4" t="s">
        <v>4465</v>
      </c>
      <c r="F320" s="2" t="s">
        <v>4130</v>
      </c>
      <c r="G320" s="2" t="s">
        <v>1996</v>
      </c>
      <c r="H320" s="25" t="s">
        <v>1346</v>
      </c>
      <c r="I320" s="2">
        <v>165.35</v>
      </c>
      <c r="J320" s="19" t="s">
        <v>4361</v>
      </c>
      <c r="K320" s="34" t="s">
        <v>4648</v>
      </c>
      <c r="L320" s="5">
        <v>20</v>
      </c>
      <c r="M320" s="346" t="s">
        <v>4649</v>
      </c>
      <c r="N320" s="341" t="s">
        <v>4650</v>
      </c>
      <c r="O320" s="2" t="s">
        <v>1500</v>
      </c>
      <c r="P320" s="266" t="s">
        <v>4651</v>
      </c>
      <c r="Q320" s="2" t="s">
        <v>4469</v>
      </c>
      <c r="R320" t="s">
        <v>38</v>
      </c>
      <c r="S320" s="137" t="s">
        <v>4647</v>
      </c>
    </row>
    <row r="321" spans="1:20" ht="57.6" x14ac:dyDescent="0.3">
      <c r="A321" t="s">
        <v>38</v>
      </c>
      <c r="B321" s="27" t="s">
        <v>4421</v>
      </c>
      <c r="C321" s="2" t="s">
        <v>4464</v>
      </c>
      <c r="D321" s="2" t="s">
        <v>4322</v>
      </c>
      <c r="E321" s="4" t="s">
        <v>4473</v>
      </c>
      <c r="F321" s="19" t="s">
        <v>4136</v>
      </c>
      <c r="G321" s="2" t="s">
        <v>1996</v>
      </c>
      <c r="H321" s="25" t="s">
        <v>1346</v>
      </c>
      <c r="I321" s="2">
        <v>165.55</v>
      </c>
      <c r="J321" s="19" t="s">
        <v>4361</v>
      </c>
      <c r="K321" s="34" t="s">
        <v>4648</v>
      </c>
      <c r="L321" s="5">
        <v>20</v>
      </c>
      <c r="M321" s="346" t="s">
        <v>4649</v>
      </c>
      <c r="N321" s="341" t="s">
        <v>4650</v>
      </c>
      <c r="O321" s="2" t="s">
        <v>1500</v>
      </c>
      <c r="P321" s="266" t="s">
        <v>4652</v>
      </c>
      <c r="Q321" s="2" t="s">
        <v>4469</v>
      </c>
      <c r="R321" t="s">
        <v>38</v>
      </c>
      <c r="S321" s="137" t="s">
        <v>4647</v>
      </c>
    </row>
    <row r="322" spans="1:20" ht="57.6" x14ac:dyDescent="0.3">
      <c r="A322" t="s">
        <v>38</v>
      </c>
      <c r="B322" s="27" t="s">
        <v>4426</v>
      </c>
      <c r="C322" s="2" t="s">
        <v>4427</v>
      </c>
      <c r="D322" s="2" t="s">
        <v>4341</v>
      </c>
      <c r="E322" s="25" t="s">
        <v>4460</v>
      </c>
      <c r="F322" s="95">
        <v>44959</v>
      </c>
      <c r="G322" s="2" t="s">
        <v>1996</v>
      </c>
      <c r="H322" s="25" t="s">
        <v>1346</v>
      </c>
      <c r="I322" s="111">
        <v>207.95</v>
      </c>
      <c r="J322" s="2" t="s">
        <v>4347</v>
      </c>
      <c r="K322" s="34" t="s">
        <v>4653</v>
      </c>
      <c r="L322" s="5">
        <v>20</v>
      </c>
      <c r="M322" s="341" t="s">
        <v>4654</v>
      </c>
      <c r="N322" s="341" t="s">
        <v>4655</v>
      </c>
      <c r="O322" s="244" t="s">
        <v>4656</v>
      </c>
      <c r="P322" s="266" t="s">
        <v>4657</v>
      </c>
      <c r="Q322" s="2"/>
      <c r="R322" s="315" t="s">
        <v>4658</v>
      </c>
      <c r="S322" s="314" t="s">
        <v>4659</v>
      </c>
    </row>
    <row r="323" spans="1:20" ht="86.4" x14ac:dyDescent="0.3">
      <c r="A323" t="s">
        <v>38</v>
      </c>
      <c r="B323" s="27" t="s">
        <v>4660</v>
      </c>
      <c r="C323" s="2" t="s">
        <v>4661</v>
      </c>
      <c r="D323" s="19" t="s">
        <v>4017</v>
      </c>
      <c r="E323" s="2" t="s">
        <v>4662</v>
      </c>
      <c r="F323" s="95">
        <v>45171</v>
      </c>
      <c r="G323" s="2" t="s">
        <v>4301</v>
      </c>
      <c r="H323" s="2" t="s">
        <v>805</v>
      </c>
      <c r="I323" s="8">
        <v>494.12</v>
      </c>
      <c r="J323" s="19" t="s">
        <v>4237</v>
      </c>
      <c r="K323" s="34">
        <v>20</v>
      </c>
      <c r="L323" s="5">
        <v>40</v>
      </c>
      <c r="M323" s="19" t="s">
        <v>1396</v>
      </c>
      <c r="N323" s="341" t="s">
        <v>4663</v>
      </c>
      <c r="O323" s="112">
        <v>44992</v>
      </c>
      <c r="P323" s="2" t="s">
        <v>4664</v>
      </c>
      <c r="Q323" s="95">
        <v>45020</v>
      </c>
      <c r="R323" s="315" t="s">
        <v>38</v>
      </c>
      <c r="S323" s="314" t="s">
        <v>4665</v>
      </c>
    </row>
    <row r="324" spans="1:20" ht="43.2" x14ac:dyDescent="0.3">
      <c r="A324" t="s">
        <v>60</v>
      </c>
      <c r="B324" s="261" t="s">
        <v>4666</v>
      </c>
      <c r="C324" s="37" t="s">
        <v>4667</v>
      </c>
      <c r="D324" s="287">
        <v>45144</v>
      </c>
      <c r="E324" s="252" t="s">
        <v>4668</v>
      </c>
      <c r="F324" s="252" t="s">
        <v>1423</v>
      </c>
      <c r="G324" s="252" t="s">
        <v>3630</v>
      </c>
      <c r="H324" s="252" t="s">
        <v>70</v>
      </c>
      <c r="I324" s="252">
        <v>250</v>
      </c>
      <c r="J324" s="252"/>
      <c r="K324" s="252">
        <v>10</v>
      </c>
      <c r="L324" s="252"/>
      <c r="M324" s="252" t="s">
        <v>1413</v>
      </c>
      <c r="N324" s="252"/>
      <c r="O324" s="252">
        <v>3</v>
      </c>
      <c r="P324" s="252" t="s">
        <v>28</v>
      </c>
      <c r="Q324" s="252" t="s">
        <v>1413</v>
      </c>
      <c r="R324" s="282" t="s">
        <v>4669</v>
      </c>
      <c r="S324" s="282" t="s">
        <v>4670</v>
      </c>
    </row>
    <row r="325" spans="1:20" x14ac:dyDescent="0.3">
      <c r="A325" t="s">
        <v>123</v>
      </c>
      <c r="B325" s="2" t="s">
        <v>642</v>
      </c>
      <c r="C325" s="2" t="s">
        <v>4671</v>
      </c>
      <c r="D325" s="112">
        <v>45236</v>
      </c>
      <c r="E325" s="2"/>
      <c r="F325" s="2"/>
      <c r="G325" s="2" t="s">
        <v>1767</v>
      </c>
      <c r="H325" s="2" t="s">
        <v>4672</v>
      </c>
      <c r="I325" s="2">
        <v>30</v>
      </c>
      <c r="J325" s="2"/>
      <c r="K325" s="2">
        <v>1</v>
      </c>
      <c r="L325" s="2"/>
      <c r="M325" s="2" t="s">
        <v>4647</v>
      </c>
      <c r="N325" s="2" t="s">
        <v>4670</v>
      </c>
      <c r="O325" s="2"/>
      <c r="P325" s="2" t="s">
        <v>4673</v>
      </c>
      <c r="Q325" s="2" t="s">
        <v>4674</v>
      </c>
      <c r="R325" s="18" t="s">
        <v>123</v>
      </c>
      <c r="S325" s="18" t="s">
        <v>4670</v>
      </c>
    </row>
    <row r="326" spans="1:20" ht="57.6" x14ac:dyDescent="0.3">
      <c r="A326" t="s">
        <v>38</v>
      </c>
      <c r="B326" s="27" t="s">
        <v>652</v>
      </c>
      <c r="C326" s="19" t="s">
        <v>4675</v>
      </c>
      <c r="D326" s="2" t="s">
        <v>4214</v>
      </c>
      <c r="E326" s="335" t="s">
        <v>4676</v>
      </c>
      <c r="F326" s="2" t="s">
        <v>4165</v>
      </c>
      <c r="G326" s="2" t="s">
        <v>1345</v>
      </c>
      <c r="H326" s="25" t="s">
        <v>1368</v>
      </c>
      <c r="I326" s="57">
        <v>207</v>
      </c>
      <c r="J326" s="4" t="s">
        <v>4237</v>
      </c>
      <c r="K326" s="34" t="s">
        <v>4677</v>
      </c>
      <c r="L326" s="5">
        <v>20</v>
      </c>
      <c r="M326" s="95" t="s">
        <v>4358</v>
      </c>
      <c r="N326" s="341" t="s">
        <v>4678</v>
      </c>
      <c r="O326" s="174" t="s">
        <v>4679</v>
      </c>
      <c r="P326" s="266" t="s">
        <v>4680</v>
      </c>
      <c r="Q326" s="95">
        <v>44988</v>
      </c>
      <c r="R326" t="s">
        <v>38</v>
      </c>
      <c r="S326" s="137" t="s">
        <v>1445</v>
      </c>
    </row>
    <row r="327" spans="1:20" ht="28.8" x14ac:dyDescent="0.3">
      <c r="A327" t="s">
        <v>60</v>
      </c>
      <c r="B327" s="261" t="s">
        <v>4666</v>
      </c>
      <c r="C327" s="37" t="s">
        <v>4681</v>
      </c>
      <c r="D327" s="287">
        <v>45144</v>
      </c>
      <c r="E327" s="252" t="s">
        <v>4682</v>
      </c>
      <c r="F327" s="252" t="s">
        <v>1423</v>
      </c>
      <c r="G327" s="252" t="s">
        <v>3630</v>
      </c>
      <c r="H327" s="252" t="s">
        <v>70</v>
      </c>
      <c r="I327" s="252">
        <v>250</v>
      </c>
      <c r="J327" s="252"/>
      <c r="K327" s="252">
        <v>10</v>
      </c>
      <c r="L327" s="252"/>
      <c r="M327" s="252" t="s">
        <v>4647</v>
      </c>
      <c r="N327" s="252"/>
      <c r="O327" s="252">
        <v>3</v>
      </c>
      <c r="P327" s="252" t="s">
        <v>28</v>
      </c>
      <c r="Q327" s="252" t="s">
        <v>1413</v>
      </c>
      <c r="R327" s="328" t="s">
        <v>4683</v>
      </c>
      <c r="S327" s="328" t="s">
        <v>4684</v>
      </c>
    </row>
    <row r="328" spans="1:20" ht="28.8" x14ac:dyDescent="0.3">
      <c r="A328" t="s">
        <v>38</v>
      </c>
      <c r="B328" s="27" t="s">
        <v>4426</v>
      </c>
      <c r="C328" s="19" t="s">
        <v>4685</v>
      </c>
      <c r="D328" s="2" t="s">
        <v>4337</v>
      </c>
      <c r="E328" s="19" t="s">
        <v>4686</v>
      </c>
      <c r="F328" s="95">
        <v>45202</v>
      </c>
      <c r="G328" s="2" t="s">
        <v>1996</v>
      </c>
      <c r="H328" s="25" t="s">
        <v>1368</v>
      </c>
      <c r="I328" s="338">
        <v>137.69999999999999</v>
      </c>
      <c r="J328" s="2" t="s">
        <v>4496</v>
      </c>
      <c r="K328" s="34" t="s">
        <v>3066</v>
      </c>
      <c r="L328" s="5">
        <v>20</v>
      </c>
      <c r="M328" s="95">
        <v>45204</v>
      </c>
      <c r="N328" s="341" t="s">
        <v>4687</v>
      </c>
      <c r="O328" s="235" t="s">
        <v>4688</v>
      </c>
      <c r="P328" s="2" t="s">
        <v>28</v>
      </c>
      <c r="Q328" s="2" t="s">
        <v>4496</v>
      </c>
      <c r="R328" s="313" t="s">
        <v>4689</v>
      </c>
      <c r="S328" s="314" t="s">
        <v>4690</v>
      </c>
    </row>
    <row r="329" spans="1:20" ht="28.8" x14ac:dyDescent="0.3">
      <c r="A329" t="s">
        <v>38</v>
      </c>
      <c r="B329" s="27" t="s">
        <v>1418</v>
      </c>
      <c r="C329" s="2" t="s">
        <v>4691</v>
      </c>
      <c r="D329" s="2" t="s">
        <v>4453</v>
      </c>
      <c r="E329" s="2" t="s">
        <v>4692</v>
      </c>
      <c r="F329" s="2" t="s">
        <v>4459</v>
      </c>
      <c r="G329" s="2" t="s">
        <v>1421</v>
      </c>
      <c r="H329" s="7" t="s">
        <v>4693</v>
      </c>
      <c r="I329" s="2">
        <v>337.38600000000002</v>
      </c>
      <c r="J329" s="2"/>
      <c r="K329" s="34">
        <v>14</v>
      </c>
      <c r="L329" s="5">
        <v>20</v>
      </c>
      <c r="M329" s="95">
        <v>45022</v>
      </c>
      <c r="N329" s="95">
        <v>45144</v>
      </c>
      <c r="O329" s="112" t="s">
        <v>1500</v>
      </c>
      <c r="P329" s="2" t="s">
        <v>28</v>
      </c>
      <c r="Q329" s="2" t="s">
        <v>1358</v>
      </c>
      <c r="R329" s="315" t="s">
        <v>4694</v>
      </c>
      <c r="S329" s="315" t="s">
        <v>4695</v>
      </c>
    </row>
    <row r="330" spans="1:20" ht="57.6" x14ac:dyDescent="0.3">
      <c r="A330" t="s">
        <v>60</v>
      </c>
      <c r="B330" s="261" t="s">
        <v>4696</v>
      </c>
      <c r="C330" s="252" t="s">
        <v>4697</v>
      </c>
      <c r="D330" s="345">
        <v>45143</v>
      </c>
      <c r="E330" s="252" t="s">
        <v>4698</v>
      </c>
      <c r="F330" s="287">
        <v>45143</v>
      </c>
      <c r="G330" s="252" t="s">
        <v>3806</v>
      </c>
      <c r="H330" s="252" t="s">
        <v>2600</v>
      </c>
      <c r="I330" s="252">
        <v>125</v>
      </c>
      <c r="J330" s="252"/>
      <c r="K330" s="252">
        <v>5</v>
      </c>
      <c r="L330" s="252">
        <v>20</v>
      </c>
      <c r="M330" s="286">
        <v>44991</v>
      </c>
      <c r="N330" s="286" t="s">
        <v>1469</v>
      </c>
      <c r="O330" s="286" t="s">
        <v>1317</v>
      </c>
      <c r="P330" s="252" t="s">
        <v>4699</v>
      </c>
      <c r="Q330" s="282" t="s">
        <v>4700</v>
      </c>
      <c r="R330" s="352" t="s">
        <v>191</v>
      </c>
      <c r="S330" s="282" t="s">
        <v>4701</v>
      </c>
    </row>
    <row r="331" spans="1:20" ht="43.2" x14ac:dyDescent="0.3">
      <c r="A331" t="s">
        <v>60</v>
      </c>
      <c r="B331" s="261" t="s">
        <v>2686</v>
      </c>
      <c r="C331" s="252" t="s">
        <v>4702</v>
      </c>
      <c r="D331" s="283" t="s">
        <v>4380</v>
      </c>
      <c r="E331" s="251">
        <v>226849479</v>
      </c>
      <c r="F331" s="251" t="s">
        <v>4518</v>
      </c>
      <c r="G331" s="252" t="s">
        <v>1402</v>
      </c>
      <c r="H331" s="252" t="s">
        <v>715</v>
      </c>
      <c r="I331" s="252">
        <v>240.86</v>
      </c>
      <c r="J331" s="286">
        <v>45265</v>
      </c>
      <c r="K331" s="252">
        <v>10</v>
      </c>
      <c r="L331" s="252">
        <v>20</v>
      </c>
      <c r="M331" s="252" t="s">
        <v>1309</v>
      </c>
      <c r="N331" s="286" t="s">
        <v>1413</v>
      </c>
      <c r="O331" s="300" t="s">
        <v>1500</v>
      </c>
      <c r="P331" s="282" t="s">
        <v>4703</v>
      </c>
      <c r="Q331" s="286">
        <v>41249</v>
      </c>
      <c r="R331" t="s">
        <v>60</v>
      </c>
      <c r="S331" s="320" t="s">
        <v>1457</v>
      </c>
      <c r="T331" t="s">
        <v>4704</v>
      </c>
    </row>
    <row r="332" spans="1:20" ht="72" x14ac:dyDescent="0.3">
      <c r="A332" t="s">
        <v>38</v>
      </c>
      <c r="B332" s="27" t="s">
        <v>652</v>
      </c>
      <c r="C332" s="19" t="s">
        <v>4394</v>
      </c>
      <c r="D332" s="95">
        <v>44958</v>
      </c>
      <c r="E332" s="4" t="s">
        <v>4705</v>
      </c>
      <c r="F332" s="95">
        <v>45231</v>
      </c>
      <c r="G332" s="2" t="s">
        <v>4706</v>
      </c>
      <c r="H332" s="25" t="s">
        <v>1368</v>
      </c>
      <c r="I332" s="30">
        <v>485.92</v>
      </c>
      <c r="J332" s="95" t="s">
        <v>4273</v>
      </c>
      <c r="K332" s="34" t="s">
        <v>4707</v>
      </c>
      <c r="L332" s="5">
        <v>40</v>
      </c>
      <c r="M332" s="95" t="s">
        <v>4581</v>
      </c>
      <c r="N332" s="341" t="s">
        <v>4708</v>
      </c>
      <c r="O332" s="235" t="s">
        <v>4709</v>
      </c>
      <c r="P332" s="266" t="s">
        <v>4710</v>
      </c>
      <c r="Q332" s="2" t="s">
        <v>4342</v>
      </c>
      <c r="R332" s="343" t="s">
        <v>4711</v>
      </c>
      <c r="S332" s="315" t="s">
        <v>4712</v>
      </c>
    </row>
    <row r="333" spans="1:20" x14ac:dyDescent="0.3">
      <c r="A333" t="s">
        <v>38</v>
      </c>
      <c r="B333" s="27" t="s">
        <v>652</v>
      </c>
      <c r="C333" s="2" t="s">
        <v>4713</v>
      </c>
      <c r="D333" s="112">
        <v>45235</v>
      </c>
      <c r="E333" s="2" t="s">
        <v>4714</v>
      </c>
      <c r="F333" s="2" t="s">
        <v>4487</v>
      </c>
      <c r="G333" s="2" t="s">
        <v>1355</v>
      </c>
      <c r="H333" s="25" t="s">
        <v>1356</v>
      </c>
      <c r="I333" s="111">
        <v>473</v>
      </c>
      <c r="J333" s="95">
        <v>45265</v>
      </c>
      <c r="K333" s="34">
        <v>20</v>
      </c>
      <c r="L333" s="5">
        <v>20</v>
      </c>
      <c r="M333" s="95">
        <v>45083</v>
      </c>
      <c r="N333" s="95" t="s">
        <v>1317</v>
      </c>
      <c r="O333" s="2" t="s">
        <v>1617</v>
      </c>
      <c r="P333" s="2" t="s">
        <v>28</v>
      </c>
      <c r="Q333" s="2" t="s">
        <v>1309</v>
      </c>
      <c r="R333" s="313" t="s">
        <v>38</v>
      </c>
      <c r="S333" s="137">
        <v>44964</v>
      </c>
    </row>
    <row r="334" spans="1:20" x14ac:dyDescent="0.3">
      <c r="A334" t="s">
        <v>38</v>
      </c>
      <c r="B334" s="27" t="s">
        <v>490</v>
      </c>
      <c r="C334" s="2" t="s">
        <v>4715</v>
      </c>
      <c r="D334" s="2" t="s">
        <v>4412</v>
      </c>
      <c r="E334" s="19">
        <v>227101886</v>
      </c>
      <c r="F334" s="2" t="s">
        <v>1375</v>
      </c>
      <c r="G334" s="2" t="s">
        <v>4716</v>
      </c>
      <c r="H334" s="25" t="s">
        <v>1436</v>
      </c>
      <c r="I334" s="2">
        <v>18.5</v>
      </c>
      <c r="J334" s="2"/>
      <c r="K334" s="5">
        <v>1</v>
      </c>
      <c r="L334" s="5">
        <v>20</v>
      </c>
      <c r="M334" s="2" t="s">
        <v>1423</v>
      </c>
      <c r="N334" s="95" t="s">
        <v>1317</v>
      </c>
      <c r="O334" s="2" t="s">
        <v>1617</v>
      </c>
      <c r="P334" s="2" t="s">
        <v>28</v>
      </c>
      <c r="Q334" s="2" t="s">
        <v>1423</v>
      </c>
      <c r="R334" s="313" t="s">
        <v>38</v>
      </c>
      <c r="S334" s="137">
        <v>44964</v>
      </c>
    </row>
    <row r="335" spans="1:20" x14ac:dyDescent="0.3">
      <c r="A335" t="s">
        <v>49</v>
      </c>
      <c r="B335" s="27" t="s">
        <v>1100</v>
      </c>
      <c r="C335" s="219" t="s">
        <v>4717</v>
      </c>
      <c r="D335" s="219" t="s">
        <v>4718</v>
      </c>
      <c r="E335" s="2" t="s">
        <v>4719</v>
      </c>
      <c r="F335" s="2" t="s">
        <v>4564</v>
      </c>
      <c r="G335" s="2" t="s">
        <v>4720</v>
      </c>
      <c r="H335" s="25" t="s">
        <v>4721</v>
      </c>
      <c r="I335" s="241">
        <v>25.5</v>
      </c>
      <c r="J335" s="2"/>
      <c r="K335" s="2">
        <v>1</v>
      </c>
      <c r="L335" s="2">
        <v>40</v>
      </c>
      <c r="M335" s="2" t="s">
        <v>1508</v>
      </c>
      <c r="N335" s="2" t="s">
        <v>4722</v>
      </c>
      <c r="O335" s="95">
        <v>45084</v>
      </c>
      <c r="P335" s="2" t="s">
        <v>4723</v>
      </c>
      <c r="Q335" s="2" t="s">
        <v>4724</v>
      </c>
      <c r="R335" s="18" t="s">
        <v>287</v>
      </c>
      <c r="S335" s="18" t="s">
        <v>1457</v>
      </c>
    </row>
    <row r="336" spans="1:20" ht="72" x14ac:dyDescent="0.3">
      <c r="A336" t="s">
        <v>49</v>
      </c>
      <c r="B336" s="27" t="s">
        <v>124</v>
      </c>
      <c r="C336" s="262" t="s">
        <v>4725</v>
      </c>
      <c r="D336" s="112">
        <v>45266</v>
      </c>
      <c r="E336" s="19">
        <v>2324049</v>
      </c>
      <c r="F336" s="2" t="s">
        <v>4646</v>
      </c>
      <c r="G336" s="2" t="s">
        <v>1767</v>
      </c>
      <c r="H336" s="2" t="s">
        <v>4281</v>
      </c>
      <c r="I336" s="241">
        <v>27</v>
      </c>
      <c r="J336" s="2"/>
      <c r="K336" s="2">
        <v>1</v>
      </c>
      <c r="L336" s="2"/>
      <c r="M336" s="2" t="s">
        <v>4670</v>
      </c>
      <c r="N336" s="2"/>
      <c r="O336" s="2"/>
      <c r="P336" s="2" t="s">
        <v>4726</v>
      </c>
      <c r="Q336" s="266" t="s">
        <v>4727</v>
      </c>
      <c r="R336" s="18" t="s">
        <v>123</v>
      </c>
      <c r="S336" s="18" t="s">
        <v>1500</v>
      </c>
      <c r="T336" s="18" t="s">
        <v>4728</v>
      </c>
    </row>
    <row r="337" spans="1:20" ht="29.4" x14ac:dyDescent="0.35">
      <c r="A337" t="s">
        <v>49</v>
      </c>
      <c r="B337" s="227" t="s">
        <v>384</v>
      </c>
      <c r="C337" s="353" t="s">
        <v>4729</v>
      </c>
      <c r="D337" s="219" t="s">
        <v>4730</v>
      </c>
      <c r="E337" s="262" t="s">
        <v>4731</v>
      </c>
      <c r="F337" s="2"/>
      <c r="G337" s="2"/>
      <c r="H337" s="2" t="s">
        <v>1324</v>
      </c>
      <c r="I337" s="354" t="s">
        <v>4732</v>
      </c>
      <c r="J337" s="2"/>
      <c r="K337" s="2"/>
      <c r="L337" s="2"/>
      <c r="M337" s="266" t="s">
        <v>4733</v>
      </c>
      <c r="N337" s="2"/>
      <c r="O337" s="2"/>
      <c r="P337" s="219" t="s">
        <v>4734</v>
      </c>
      <c r="Q337" s="2" t="s">
        <v>4735</v>
      </c>
      <c r="R337" s="18" t="s">
        <v>49</v>
      </c>
      <c r="S337" s="315" t="s">
        <v>4736</v>
      </c>
    </row>
    <row r="338" spans="1:20" x14ac:dyDescent="0.3">
      <c r="A338" t="s">
        <v>38</v>
      </c>
      <c r="B338" s="27" t="s">
        <v>4737</v>
      </c>
      <c r="C338" s="37" t="s">
        <v>4738</v>
      </c>
      <c r="D338" s="2" t="s">
        <v>4593</v>
      </c>
      <c r="E338" s="340" t="s">
        <v>4739</v>
      </c>
      <c r="F338" s="2" t="s">
        <v>4489</v>
      </c>
      <c r="G338" s="2" t="s">
        <v>1345</v>
      </c>
      <c r="H338" s="25" t="s">
        <v>1368</v>
      </c>
      <c r="I338" s="57">
        <v>274.14400000000001</v>
      </c>
      <c r="J338" s="2"/>
      <c r="K338" s="5">
        <v>12</v>
      </c>
      <c r="L338" s="5">
        <v>20</v>
      </c>
      <c r="M338" s="95">
        <v>45083</v>
      </c>
      <c r="N338" s="95">
        <v>44992</v>
      </c>
      <c r="O338" s="2" t="s">
        <v>4740</v>
      </c>
      <c r="P338" s="2" t="s">
        <v>28</v>
      </c>
      <c r="Q338" s="112">
        <v>44964</v>
      </c>
      <c r="R338" t="s">
        <v>4741</v>
      </c>
      <c r="S338" s="137">
        <v>45084</v>
      </c>
    </row>
    <row r="339" spans="1:20" x14ac:dyDescent="0.3">
      <c r="A339" t="s">
        <v>38</v>
      </c>
      <c r="B339" s="27" t="s">
        <v>1341</v>
      </c>
      <c r="C339" s="2" t="s">
        <v>1342</v>
      </c>
      <c r="D339" s="2" t="s">
        <v>1343</v>
      </c>
      <c r="E339" s="2" t="s">
        <v>4742</v>
      </c>
      <c r="F339" s="2" t="s">
        <v>1372</v>
      </c>
      <c r="G339" s="2" t="s">
        <v>1345</v>
      </c>
      <c r="H339" s="20" t="s">
        <v>1346</v>
      </c>
      <c r="I339" s="2">
        <v>460</v>
      </c>
      <c r="J339" s="2" t="s">
        <v>4646</v>
      </c>
      <c r="K339" s="34">
        <v>20</v>
      </c>
      <c r="L339" s="5">
        <v>20</v>
      </c>
      <c r="M339" s="95">
        <v>45236</v>
      </c>
      <c r="N339" s="95">
        <v>45023</v>
      </c>
      <c r="O339" s="2" t="s">
        <v>1305</v>
      </c>
      <c r="P339" s="2" t="s">
        <v>28</v>
      </c>
      <c r="Q339" s="112">
        <v>45144</v>
      </c>
      <c r="R339" t="s">
        <v>38</v>
      </c>
      <c r="S339" s="137">
        <v>45114</v>
      </c>
    </row>
    <row r="340" spans="1:20" ht="28.8" x14ac:dyDescent="0.3">
      <c r="A340" t="s">
        <v>60</v>
      </c>
      <c r="B340" s="252" t="s">
        <v>4666</v>
      </c>
      <c r="C340" s="252" t="s">
        <v>4743</v>
      </c>
      <c r="D340" s="252" t="s">
        <v>1358</v>
      </c>
      <c r="E340" s="252" t="s">
        <v>4744</v>
      </c>
      <c r="F340" s="287">
        <v>45053</v>
      </c>
      <c r="G340" s="252" t="s">
        <v>3630</v>
      </c>
      <c r="H340" s="252" t="s">
        <v>4745</v>
      </c>
      <c r="I340" s="300" t="s">
        <v>4746</v>
      </c>
      <c r="J340" s="252"/>
      <c r="K340" s="252">
        <v>10</v>
      </c>
      <c r="L340" s="252"/>
      <c r="M340" s="286">
        <v>45023</v>
      </c>
      <c r="N340" s="287">
        <v>45053</v>
      </c>
      <c r="O340" s="252"/>
      <c r="P340" s="252" t="s">
        <v>28</v>
      </c>
      <c r="Q340" s="286">
        <v>45114</v>
      </c>
      <c r="R340" t="s">
        <v>60</v>
      </c>
      <c r="S340" s="137">
        <v>45114</v>
      </c>
      <c r="T340" t="s">
        <v>4747</v>
      </c>
    </row>
    <row r="341" spans="1:20" ht="28.8" x14ac:dyDescent="0.3">
      <c r="A341" t="s">
        <v>60</v>
      </c>
      <c r="B341" s="316" t="s">
        <v>1314</v>
      </c>
      <c r="C341" s="19" t="s">
        <v>4748</v>
      </c>
      <c r="D341" s="5" t="s">
        <v>4749</v>
      </c>
      <c r="E341" s="2" t="s">
        <v>4750</v>
      </c>
      <c r="F341" s="252" t="s">
        <v>4646</v>
      </c>
      <c r="G341" s="252" t="s">
        <v>1318</v>
      </c>
      <c r="H341" s="7" t="s">
        <v>152</v>
      </c>
      <c r="I341" s="10">
        <v>20</v>
      </c>
      <c r="J341" s="252"/>
      <c r="K341" s="252">
        <v>1</v>
      </c>
      <c r="L341" s="252">
        <v>20</v>
      </c>
      <c r="M341" s="283" t="s">
        <v>1457</v>
      </c>
      <c r="N341" s="287">
        <v>45114</v>
      </c>
      <c r="O341" s="252" t="s">
        <v>1361</v>
      </c>
      <c r="P341" s="252" t="s">
        <v>28</v>
      </c>
      <c r="Q341" s="286">
        <v>45114</v>
      </c>
      <c r="R341" s="282" t="s">
        <v>38</v>
      </c>
      <c r="S341" s="320">
        <v>45176</v>
      </c>
      <c r="T341" s="282" t="s">
        <v>4704</v>
      </c>
    </row>
    <row r="342" spans="1:20" ht="28.8" x14ac:dyDescent="0.3">
      <c r="A342" t="s">
        <v>60</v>
      </c>
      <c r="B342" s="36" t="s">
        <v>1460</v>
      </c>
      <c r="C342" s="37" t="s">
        <v>4751</v>
      </c>
      <c r="D342" s="252" t="s">
        <v>4563</v>
      </c>
      <c r="E342" s="251">
        <v>226340721</v>
      </c>
      <c r="F342" s="252" t="s">
        <v>4539</v>
      </c>
      <c r="G342" s="252" t="s">
        <v>4624</v>
      </c>
      <c r="H342" s="7" t="s">
        <v>106</v>
      </c>
      <c r="I342" s="252">
        <v>238.68</v>
      </c>
      <c r="J342" s="252"/>
      <c r="K342" s="252">
        <v>10</v>
      </c>
      <c r="L342" s="252">
        <v>20</v>
      </c>
      <c r="M342" s="283" t="s">
        <v>1469</v>
      </c>
      <c r="N342" s="287">
        <v>45145</v>
      </c>
      <c r="O342" s="252" t="s">
        <v>1301</v>
      </c>
      <c r="P342" s="252" t="s">
        <v>28</v>
      </c>
      <c r="Q342" s="286">
        <v>45084</v>
      </c>
      <c r="R342" s="282" t="s">
        <v>191</v>
      </c>
      <c r="S342" s="320">
        <v>45206</v>
      </c>
      <c r="T342" s="282" t="s">
        <v>4704</v>
      </c>
    </row>
    <row r="343" spans="1:20" x14ac:dyDescent="0.3">
      <c r="A343" t="s">
        <v>38</v>
      </c>
      <c r="B343" s="27" t="s">
        <v>4737</v>
      </c>
      <c r="C343" s="37" t="s">
        <v>4738</v>
      </c>
      <c r="D343" s="2" t="s">
        <v>4593</v>
      </c>
      <c r="E343" s="340" t="s">
        <v>4752</v>
      </c>
      <c r="F343" s="2" t="s">
        <v>4449</v>
      </c>
      <c r="G343" s="2" t="s">
        <v>1345</v>
      </c>
      <c r="H343" s="25" t="s">
        <v>1368</v>
      </c>
      <c r="I343" s="57">
        <v>228.316</v>
      </c>
      <c r="J343" s="2"/>
      <c r="K343" s="5">
        <v>10</v>
      </c>
      <c r="L343" s="5">
        <v>20</v>
      </c>
      <c r="M343" s="95">
        <v>44991</v>
      </c>
      <c r="N343" s="95">
        <v>44992</v>
      </c>
      <c r="O343" s="2" t="s">
        <v>4740</v>
      </c>
      <c r="P343" s="2" t="s">
        <v>28</v>
      </c>
      <c r="Q343" s="112">
        <v>44964</v>
      </c>
      <c r="R343" t="s">
        <v>38</v>
      </c>
      <c r="S343" s="357">
        <v>45206</v>
      </c>
    </row>
    <row r="344" spans="1:20" ht="28.8" x14ac:dyDescent="0.3">
      <c r="A344" t="s">
        <v>60</v>
      </c>
      <c r="B344" s="4" t="s">
        <v>4753</v>
      </c>
      <c r="C344" s="2" t="s">
        <v>4754</v>
      </c>
      <c r="D344" s="5" t="s">
        <v>4755</v>
      </c>
      <c r="E344" s="252" t="s">
        <v>4756</v>
      </c>
      <c r="F344" s="286" t="s">
        <v>1457</v>
      </c>
      <c r="G344" s="252" t="s">
        <v>3630</v>
      </c>
      <c r="H344" s="19" t="s">
        <v>4745</v>
      </c>
      <c r="I344" s="244" t="s">
        <v>4757</v>
      </c>
      <c r="J344" s="252"/>
      <c r="K344" s="252">
        <v>10</v>
      </c>
      <c r="L344" s="252"/>
      <c r="M344" s="286">
        <v>45053</v>
      </c>
      <c r="N344" s="287">
        <v>45176</v>
      </c>
      <c r="O344" s="252"/>
      <c r="P344" s="252" t="s">
        <v>212</v>
      </c>
      <c r="Q344" s="252"/>
      <c r="R344" t="s">
        <v>60</v>
      </c>
      <c r="S344" s="137">
        <v>45237</v>
      </c>
      <c r="T344" t="s">
        <v>4747</v>
      </c>
    </row>
    <row r="345" spans="1:20" x14ac:dyDescent="0.3">
      <c r="A345" t="s">
        <v>38</v>
      </c>
      <c r="B345" s="27" t="s">
        <v>1341</v>
      </c>
      <c r="C345" s="2" t="s">
        <v>1342</v>
      </c>
      <c r="D345" s="2" t="s">
        <v>1343</v>
      </c>
      <c r="E345" s="2" t="s">
        <v>4758</v>
      </c>
      <c r="F345" s="2" t="s">
        <v>4496</v>
      </c>
      <c r="G345" s="2" t="s">
        <v>1345</v>
      </c>
      <c r="H345" s="20" t="s">
        <v>1346</v>
      </c>
      <c r="I345" s="2">
        <v>299</v>
      </c>
      <c r="J345" s="2" t="s">
        <v>4646</v>
      </c>
      <c r="K345" s="34">
        <v>13</v>
      </c>
      <c r="L345" s="5">
        <v>20</v>
      </c>
      <c r="M345" s="2" t="s">
        <v>4759</v>
      </c>
      <c r="N345" s="95">
        <v>45023</v>
      </c>
      <c r="O345" s="2" t="s">
        <v>1305</v>
      </c>
      <c r="P345" s="2" t="s">
        <v>28</v>
      </c>
      <c r="Q345" s="112">
        <v>45175</v>
      </c>
      <c r="R345" t="s">
        <v>38</v>
      </c>
      <c r="S345" s="137">
        <v>45237</v>
      </c>
    </row>
    <row r="346" spans="1:20" x14ac:dyDescent="0.3">
      <c r="A346" t="s">
        <v>123</v>
      </c>
      <c r="B346" s="27" t="s">
        <v>4760</v>
      </c>
      <c r="C346" s="2" t="s">
        <v>4761</v>
      </c>
      <c r="D346" s="2" t="s">
        <v>4701</v>
      </c>
      <c r="E346" s="2" t="s">
        <v>4762</v>
      </c>
      <c r="F346" s="112">
        <v>45053</v>
      </c>
      <c r="G346" s="2" t="s">
        <v>1767</v>
      </c>
      <c r="H346" s="2" t="s">
        <v>4763</v>
      </c>
      <c r="I346" s="2">
        <v>8440</v>
      </c>
      <c r="J346" s="2"/>
      <c r="K346" s="2">
        <v>1</v>
      </c>
      <c r="L346" s="2"/>
      <c r="M346" s="112">
        <v>45176</v>
      </c>
      <c r="N346" s="95">
        <v>45206</v>
      </c>
      <c r="O346" s="2"/>
      <c r="P346" s="2" t="s">
        <v>4764</v>
      </c>
      <c r="Q346" s="2" t="s">
        <v>4765</v>
      </c>
      <c r="R346" t="s">
        <v>123</v>
      </c>
      <c r="S346" s="137">
        <v>45267</v>
      </c>
    </row>
    <row r="347" spans="1:20" ht="28.8" x14ac:dyDescent="0.3">
      <c r="A347" t="s">
        <v>60</v>
      </c>
      <c r="B347" s="4" t="s">
        <v>4753</v>
      </c>
      <c r="C347" s="2" t="s">
        <v>4766</v>
      </c>
      <c r="D347" s="5" t="s">
        <v>4755</v>
      </c>
      <c r="E347" s="252" t="s">
        <v>4767</v>
      </c>
      <c r="F347" s="286" t="s">
        <v>1457</v>
      </c>
      <c r="G347" s="252" t="s">
        <v>3630</v>
      </c>
      <c r="H347" s="19" t="s">
        <v>4745</v>
      </c>
      <c r="I347" s="244" t="s">
        <v>4757</v>
      </c>
      <c r="J347" s="252"/>
      <c r="K347" s="252">
        <v>10</v>
      </c>
      <c r="L347" s="252"/>
      <c r="M347" s="286">
        <v>45053</v>
      </c>
      <c r="N347" s="287">
        <v>45176</v>
      </c>
      <c r="O347" s="252"/>
      <c r="P347" s="252" t="s">
        <v>212</v>
      </c>
      <c r="Q347" s="252"/>
      <c r="R347" t="s">
        <v>60</v>
      </c>
      <c r="S347" t="s">
        <v>1403</v>
      </c>
      <c r="T347" t="s">
        <v>4747</v>
      </c>
    </row>
    <row r="348" spans="1:20" x14ac:dyDescent="0.3">
      <c r="A348" t="s">
        <v>38</v>
      </c>
      <c r="B348" s="25" t="s">
        <v>1341</v>
      </c>
      <c r="C348" s="2" t="s">
        <v>1342</v>
      </c>
      <c r="D348" s="2" t="s">
        <v>1343</v>
      </c>
      <c r="E348" s="2" t="s">
        <v>1344</v>
      </c>
      <c r="F348" s="95">
        <v>44962</v>
      </c>
      <c r="G348" s="2" t="s">
        <v>1345</v>
      </c>
      <c r="H348" s="20" t="s">
        <v>1346</v>
      </c>
      <c r="I348" s="2">
        <v>276</v>
      </c>
      <c r="J348" s="2" t="s">
        <v>1347</v>
      </c>
      <c r="K348" s="34">
        <v>11</v>
      </c>
      <c r="L348" s="5">
        <v>20</v>
      </c>
      <c r="M348" s="95">
        <v>45236</v>
      </c>
      <c r="N348" s="95">
        <v>45023</v>
      </c>
      <c r="O348" s="2" t="s">
        <v>1305</v>
      </c>
      <c r="P348" s="2" t="s">
        <v>1349</v>
      </c>
      <c r="Q348" s="112">
        <v>45144</v>
      </c>
      <c r="R348" t="s">
        <v>4768</v>
      </c>
      <c r="S348" s="137" t="s">
        <v>1617</v>
      </c>
    </row>
    <row r="349" spans="1:20" x14ac:dyDescent="0.3">
      <c r="A349" t="s">
        <v>38</v>
      </c>
      <c r="B349" s="27" t="s">
        <v>1418</v>
      </c>
      <c r="C349" s="2" t="s">
        <v>4691</v>
      </c>
      <c r="D349" s="2" t="s">
        <v>4453</v>
      </c>
      <c r="E349" s="2" t="s">
        <v>4769</v>
      </c>
      <c r="F349" s="2" t="s">
        <v>4341</v>
      </c>
      <c r="G349" s="2" t="s">
        <v>1897</v>
      </c>
      <c r="H349" s="7" t="s">
        <v>4693</v>
      </c>
      <c r="I349" s="2">
        <v>144.21600000000001</v>
      </c>
      <c r="J349" s="2"/>
      <c r="K349" s="34">
        <v>6</v>
      </c>
      <c r="L349" s="5">
        <v>20</v>
      </c>
      <c r="M349" s="2" t="s">
        <v>4581</v>
      </c>
      <c r="N349" s="95">
        <v>45267</v>
      </c>
      <c r="O349" s="2" t="s">
        <v>1312</v>
      </c>
      <c r="P349" s="2" t="s">
        <v>28</v>
      </c>
      <c r="Q349" s="112">
        <v>45267</v>
      </c>
      <c r="R349" t="s">
        <v>38</v>
      </c>
      <c r="S349" s="137" t="s">
        <v>1299</v>
      </c>
    </row>
    <row r="350" spans="1:20" x14ac:dyDescent="0.3">
      <c r="A350" t="s">
        <v>38</v>
      </c>
      <c r="B350" s="27" t="s">
        <v>4770</v>
      </c>
      <c r="C350" s="2" t="s">
        <v>4771</v>
      </c>
      <c r="D350" s="19" t="s">
        <v>4496</v>
      </c>
      <c r="E350" s="2" t="s">
        <v>4772</v>
      </c>
      <c r="F350" s="95">
        <v>45235</v>
      </c>
      <c r="G350" s="2" t="s">
        <v>1355</v>
      </c>
      <c r="H350" s="25" t="s">
        <v>1368</v>
      </c>
      <c r="I350" s="2">
        <v>240</v>
      </c>
      <c r="J350" s="2"/>
      <c r="K350" s="5">
        <v>10</v>
      </c>
      <c r="L350" s="5">
        <v>20</v>
      </c>
      <c r="M350" s="2" t="s">
        <v>1358</v>
      </c>
      <c r="N350" s="95">
        <v>45267</v>
      </c>
      <c r="O350" s="2" t="s">
        <v>1313</v>
      </c>
      <c r="P350" s="2" t="s">
        <v>28</v>
      </c>
      <c r="Q350" s="2" t="s">
        <v>4740</v>
      </c>
      <c r="R350" t="s">
        <v>38</v>
      </c>
      <c r="S350" s="137" t="s">
        <v>1299</v>
      </c>
    </row>
    <row r="351" spans="1:20" x14ac:dyDescent="0.3">
      <c r="A351" t="s">
        <v>38</v>
      </c>
      <c r="B351" s="316" t="s">
        <v>1314</v>
      </c>
      <c r="C351" s="37" t="s">
        <v>4773</v>
      </c>
      <c r="D351" s="19"/>
      <c r="E351" s="2" t="s">
        <v>4774</v>
      </c>
      <c r="F351" s="2" t="s">
        <v>4593</v>
      </c>
      <c r="G351" s="2" t="s">
        <v>1318</v>
      </c>
      <c r="H351" s="7" t="s">
        <v>152</v>
      </c>
      <c r="I351" s="55">
        <v>20</v>
      </c>
      <c r="J351" s="2"/>
      <c r="K351" s="5">
        <v>1</v>
      </c>
      <c r="L351" s="5">
        <v>20</v>
      </c>
      <c r="M351" s="95">
        <v>44932</v>
      </c>
      <c r="N351" s="95" t="s">
        <v>1447</v>
      </c>
      <c r="O351" s="2" t="s">
        <v>1359</v>
      </c>
      <c r="P351" s="2" t="s">
        <v>28</v>
      </c>
      <c r="Q351" s="112">
        <v>45144</v>
      </c>
      <c r="R351" t="s">
        <v>38</v>
      </c>
      <c r="S351" s="320" t="s">
        <v>1299</v>
      </c>
    </row>
    <row r="352" spans="1:20" ht="28.8" x14ac:dyDescent="0.3">
      <c r="A352" t="s">
        <v>60</v>
      </c>
      <c r="B352" s="316" t="s">
        <v>1314</v>
      </c>
      <c r="C352" s="37" t="s">
        <v>4775</v>
      </c>
      <c r="D352" s="252" t="s">
        <v>1372</v>
      </c>
      <c r="E352" s="252" t="s">
        <v>4776</v>
      </c>
      <c r="F352" s="252" t="s">
        <v>4593</v>
      </c>
      <c r="G352" s="252" t="s">
        <v>1318</v>
      </c>
      <c r="H352" s="7" t="s">
        <v>152</v>
      </c>
      <c r="I352" s="10">
        <v>20</v>
      </c>
      <c r="J352" s="252"/>
      <c r="K352" s="252">
        <v>1</v>
      </c>
      <c r="L352" s="252">
        <v>20</v>
      </c>
      <c r="M352" s="351">
        <v>44932</v>
      </c>
      <c r="N352" s="287" t="s">
        <v>1447</v>
      </c>
      <c r="O352" s="252" t="s">
        <v>1359</v>
      </c>
      <c r="P352" s="252" t="s">
        <v>28</v>
      </c>
      <c r="Q352" s="286">
        <v>45113</v>
      </c>
      <c r="R352" s="282" t="s">
        <v>191</v>
      </c>
      <c r="S352" s="320" t="s">
        <v>1299</v>
      </c>
    </row>
    <row r="353" spans="1:20" x14ac:dyDescent="0.3">
      <c r="A353" t="s">
        <v>38</v>
      </c>
      <c r="B353" s="27" t="s">
        <v>4770</v>
      </c>
      <c r="C353" s="2" t="s">
        <v>4771</v>
      </c>
      <c r="D353" s="19" t="s">
        <v>4496</v>
      </c>
      <c r="E353" s="2" t="s">
        <v>4777</v>
      </c>
      <c r="F353" s="112" t="s">
        <v>1394</v>
      </c>
      <c r="G353" s="2" t="s">
        <v>1355</v>
      </c>
      <c r="H353" s="25" t="s">
        <v>1368</v>
      </c>
      <c r="I353" s="2">
        <v>240</v>
      </c>
      <c r="J353" s="2"/>
      <c r="K353" s="5">
        <v>10</v>
      </c>
      <c r="L353" s="5">
        <v>20</v>
      </c>
      <c r="M353" s="95">
        <v>45237</v>
      </c>
      <c r="N353" s="95" t="s">
        <v>1361</v>
      </c>
      <c r="O353" s="95">
        <v>45207</v>
      </c>
      <c r="P353" s="2" t="s">
        <v>28</v>
      </c>
      <c r="Q353" s="2" t="s">
        <v>4740</v>
      </c>
      <c r="R353" s="339" t="s">
        <v>38</v>
      </c>
      <c r="S353" s="137" t="s">
        <v>1330</v>
      </c>
    </row>
    <row r="354" spans="1:20" x14ac:dyDescent="0.3">
      <c r="A354" t="s">
        <v>38</v>
      </c>
      <c r="B354" s="27" t="s">
        <v>1352</v>
      </c>
      <c r="C354" s="37" t="s">
        <v>1353</v>
      </c>
      <c r="D354" s="2" t="s">
        <v>1309</v>
      </c>
      <c r="E354" s="2" t="s">
        <v>1354</v>
      </c>
      <c r="F354" s="95">
        <v>45051</v>
      </c>
      <c r="G354" s="2" t="s">
        <v>1355</v>
      </c>
      <c r="H354" s="25" t="s">
        <v>1356</v>
      </c>
      <c r="I354" s="2">
        <v>470.94</v>
      </c>
      <c r="J354" s="2"/>
      <c r="K354" s="5" t="s">
        <v>1357</v>
      </c>
      <c r="L354" s="5">
        <v>20</v>
      </c>
      <c r="M354" s="2" t="s">
        <v>1358</v>
      </c>
      <c r="N354" s="95">
        <v>45267</v>
      </c>
      <c r="O354" s="2" t="s">
        <v>1319</v>
      </c>
      <c r="P354" s="2" t="s">
        <v>1360</v>
      </c>
      <c r="Q354" s="2" t="s">
        <v>1361</v>
      </c>
      <c r="R354" t="s">
        <v>38</v>
      </c>
      <c r="S354" s="137" t="s">
        <v>1312</v>
      </c>
    </row>
    <row r="355" spans="1:20" ht="57.6" x14ac:dyDescent="0.3">
      <c r="A355" t="s">
        <v>49</v>
      </c>
      <c r="B355" s="356" t="s">
        <v>81</v>
      </c>
      <c r="C355" s="219" t="s">
        <v>4778</v>
      </c>
      <c r="D355" s="219" t="s">
        <v>4779</v>
      </c>
      <c r="E355" s="2" t="s">
        <v>4780</v>
      </c>
      <c r="F355" s="112">
        <v>45023</v>
      </c>
      <c r="G355" s="2" t="s">
        <v>4633</v>
      </c>
      <c r="H355" s="249" t="s">
        <v>4781</v>
      </c>
      <c r="I355" s="2">
        <v>13.73</v>
      </c>
      <c r="J355" s="2"/>
      <c r="K355" s="2">
        <v>1</v>
      </c>
      <c r="L355" s="2"/>
      <c r="M355" s="2"/>
      <c r="N355" s="95">
        <v>45206</v>
      </c>
      <c r="O355" s="2"/>
      <c r="P355" s="2" t="s">
        <v>121</v>
      </c>
      <c r="Q355" s="2" t="s">
        <v>4782</v>
      </c>
      <c r="R355" t="s">
        <v>1683</v>
      </c>
      <c r="S355" s="137" t="s">
        <v>1330</v>
      </c>
    </row>
    <row r="356" spans="1:20" x14ac:dyDescent="0.3">
      <c r="A356" t="s">
        <v>49</v>
      </c>
      <c r="B356" s="2" t="s">
        <v>330</v>
      </c>
      <c r="C356" s="2" t="s">
        <v>4783</v>
      </c>
      <c r="D356" s="2" t="s">
        <v>4562</v>
      </c>
      <c r="E356" s="2" t="s">
        <v>4784</v>
      </c>
      <c r="F356" s="112">
        <v>45206</v>
      </c>
      <c r="G356" s="2" t="s">
        <v>4785</v>
      </c>
      <c r="H356" s="2" t="s">
        <v>4786</v>
      </c>
      <c r="I356" s="2">
        <v>20</v>
      </c>
      <c r="J356" s="2" t="s">
        <v>4740</v>
      </c>
      <c r="K356" s="2"/>
      <c r="L356" s="2"/>
      <c r="M356" s="2"/>
      <c r="N356" s="2" t="s">
        <v>1299</v>
      </c>
      <c r="O356" s="2"/>
      <c r="P356" s="2" t="s">
        <v>121</v>
      </c>
      <c r="Q356" s="2" t="s">
        <v>4787</v>
      </c>
      <c r="R356" s="18" t="s">
        <v>1683</v>
      </c>
      <c r="S356" s="137" t="s">
        <v>1330</v>
      </c>
      <c r="T356" s="74" t="s">
        <v>4788</v>
      </c>
    </row>
  </sheetData>
  <autoFilter ref="A2:S2" xr:uid="{4F0DB624-44AE-422D-965B-4EE4F4032AD1}"/>
  <sortState xmlns:xlrd2="http://schemas.microsoft.com/office/spreadsheetml/2017/richdata2" ref="A2:S2">
    <sortCondition ref="A2"/>
  </sortState>
  <mergeCells count="12">
    <mergeCell ref="B273:B276"/>
    <mergeCell ref="P84:P85"/>
    <mergeCell ref="B84:B85"/>
    <mergeCell ref="C84:C85"/>
    <mergeCell ref="E84:E85"/>
    <mergeCell ref="G84:G85"/>
    <mergeCell ref="B21:B22"/>
    <mergeCell ref="C21:C22"/>
    <mergeCell ref="E21:E22"/>
    <mergeCell ref="B35:B36"/>
    <mergeCell ref="F35:F36"/>
    <mergeCell ref="C35:C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2:AJ300"/>
  <sheetViews>
    <sheetView topLeftCell="A85" zoomScale="55" workbookViewId="0">
      <selection activeCell="E249" sqref="E249"/>
    </sheetView>
  </sheetViews>
  <sheetFormatPr defaultRowHeight="14.4" x14ac:dyDescent="0.3"/>
  <cols>
    <col min="2" max="2" width="27" bestFit="1" customWidth="1"/>
    <col min="3" max="3" width="19.109375" bestFit="1" customWidth="1"/>
    <col min="4" max="4" width="18.109375" bestFit="1" customWidth="1"/>
    <col min="5" max="5" width="21.5546875" customWidth="1"/>
    <col min="8" max="8" width="10.5546875" bestFit="1" customWidth="1"/>
    <col min="14" max="14" width="11.33203125" bestFit="1" customWidth="1"/>
    <col min="17" max="17" width="9.6640625" bestFit="1" customWidth="1"/>
  </cols>
  <sheetData>
    <row r="2" spans="1:14" ht="15.6" x14ac:dyDescent="0.3">
      <c r="A2" t="s">
        <v>38</v>
      </c>
      <c r="B2" s="22" t="s">
        <v>39</v>
      </c>
      <c r="C2" s="6" t="s">
        <v>40</v>
      </c>
      <c r="D2" s="4">
        <v>213734366</v>
      </c>
      <c r="E2" s="7" t="s">
        <v>42</v>
      </c>
      <c r="F2" s="10">
        <v>520</v>
      </c>
      <c r="G2" s="5" t="s">
        <v>4789</v>
      </c>
      <c r="H2" s="14" t="s">
        <v>43</v>
      </c>
      <c r="I2" s="2" t="s">
        <v>44</v>
      </c>
      <c r="J2" s="20" t="s">
        <v>28</v>
      </c>
      <c r="L2" t="s">
        <v>45</v>
      </c>
      <c r="M2" t="s">
        <v>46</v>
      </c>
    </row>
    <row r="3" spans="1:14" ht="15.6" x14ac:dyDescent="0.3">
      <c r="A3" t="s">
        <v>38</v>
      </c>
      <c r="B3" s="22" t="s">
        <v>39</v>
      </c>
      <c r="C3" s="6" t="s">
        <v>47</v>
      </c>
      <c r="D3" s="4">
        <v>213734339</v>
      </c>
      <c r="E3" s="7" t="s">
        <v>42</v>
      </c>
      <c r="F3" s="10">
        <v>500</v>
      </c>
      <c r="G3" s="5" t="s">
        <v>4790</v>
      </c>
      <c r="H3" s="14" t="s">
        <v>43</v>
      </c>
      <c r="I3" s="2" t="s">
        <v>44</v>
      </c>
      <c r="J3" s="20" t="s">
        <v>28</v>
      </c>
      <c r="K3" t="s">
        <v>48</v>
      </c>
    </row>
    <row r="5" spans="1:14" x14ac:dyDescent="0.3">
      <c r="A5" t="s">
        <v>49</v>
      </c>
      <c r="B5" s="25" t="s">
        <v>50</v>
      </c>
      <c r="C5" s="25" t="s">
        <v>51</v>
      </c>
      <c r="D5" s="19"/>
      <c r="E5" s="25" t="s">
        <v>52</v>
      </c>
      <c r="F5" s="25">
        <v>15</v>
      </c>
      <c r="G5" s="2">
        <v>1</v>
      </c>
      <c r="H5" s="2" t="s">
        <v>53</v>
      </c>
      <c r="I5" s="2"/>
      <c r="J5" s="2" t="s">
        <v>28</v>
      </c>
      <c r="N5" s="137">
        <v>44724</v>
      </c>
    </row>
    <row r="6" spans="1:14" x14ac:dyDescent="0.3">
      <c r="A6" t="s">
        <v>49</v>
      </c>
      <c r="B6" s="25" t="s">
        <v>50</v>
      </c>
      <c r="C6" s="25" t="s">
        <v>51</v>
      </c>
      <c r="D6" s="2"/>
      <c r="E6" s="25" t="s">
        <v>54</v>
      </c>
      <c r="F6" s="25">
        <v>15</v>
      </c>
      <c r="G6" s="2">
        <v>1</v>
      </c>
      <c r="H6" s="2" t="s">
        <v>53</v>
      </c>
      <c r="I6" s="2"/>
      <c r="J6" s="2" t="s">
        <v>28</v>
      </c>
    </row>
    <row r="8" spans="1:14" x14ac:dyDescent="0.3">
      <c r="B8" s="20" t="s">
        <v>56</v>
      </c>
      <c r="C8" s="41" t="s">
        <v>57</v>
      </c>
      <c r="D8" s="2"/>
      <c r="E8" s="20" t="s">
        <v>58</v>
      </c>
      <c r="F8" s="20">
        <v>10</v>
      </c>
      <c r="G8" s="5" t="s">
        <v>439</v>
      </c>
      <c r="H8" s="2"/>
      <c r="I8" s="2"/>
      <c r="J8" s="20" t="s">
        <v>59</v>
      </c>
    </row>
    <row r="10" spans="1:14" ht="15.6" x14ac:dyDescent="0.3">
      <c r="A10" t="s">
        <v>60</v>
      </c>
      <c r="B10" s="22" t="s">
        <v>39</v>
      </c>
      <c r="C10" s="20" t="s">
        <v>61</v>
      </c>
      <c r="D10" s="26" t="s">
        <v>62</v>
      </c>
      <c r="E10" s="7" t="s">
        <v>42</v>
      </c>
      <c r="F10" s="10">
        <v>130</v>
      </c>
      <c r="G10" s="5" t="s">
        <v>4791</v>
      </c>
      <c r="H10" s="6" t="s">
        <v>63</v>
      </c>
      <c r="I10" s="2" t="s">
        <v>64</v>
      </c>
      <c r="J10" s="2" t="s">
        <v>65</v>
      </c>
      <c r="K10" t="s">
        <v>66</v>
      </c>
    </row>
    <row r="12" spans="1:14" x14ac:dyDescent="0.3">
      <c r="A12" t="s">
        <v>3916</v>
      </c>
      <c r="B12" s="27" t="s">
        <v>68</v>
      </c>
      <c r="C12" s="2" t="s">
        <v>69</v>
      </c>
      <c r="D12" s="25">
        <v>213819772</v>
      </c>
      <c r="E12" s="2" t="s">
        <v>70</v>
      </c>
      <c r="F12" s="2">
        <v>234.19</v>
      </c>
      <c r="G12" s="2" t="s">
        <v>4792</v>
      </c>
      <c r="H12" s="25" t="s">
        <v>43</v>
      </c>
      <c r="I12" s="2" t="s">
        <v>44</v>
      </c>
      <c r="J12" s="2" t="s">
        <v>28</v>
      </c>
      <c r="K12" s="18" t="s">
        <v>71</v>
      </c>
      <c r="L12" s="18" t="s">
        <v>72</v>
      </c>
    </row>
    <row r="14" spans="1:14" x14ac:dyDescent="0.3">
      <c r="A14" t="s">
        <v>1438</v>
      </c>
      <c r="B14" s="27" t="s">
        <v>74</v>
      </c>
      <c r="C14" s="2" t="s">
        <v>75</v>
      </c>
      <c r="D14" s="25">
        <v>213778622</v>
      </c>
      <c r="E14" s="2" t="s">
        <v>70</v>
      </c>
      <c r="F14" s="2">
        <v>500.971</v>
      </c>
      <c r="G14" s="2" t="s">
        <v>4793</v>
      </c>
      <c r="H14" s="2" t="s">
        <v>53</v>
      </c>
      <c r="I14" s="2" t="s">
        <v>44</v>
      </c>
      <c r="J14" s="2" t="s">
        <v>28</v>
      </c>
    </row>
    <row r="16" spans="1:14" x14ac:dyDescent="0.3">
      <c r="B16" s="25" t="s">
        <v>76</v>
      </c>
      <c r="C16" s="25" t="s">
        <v>77</v>
      </c>
      <c r="D16" s="2"/>
      <c r="E16" s="25" t="s">
        <v>78</v>
      </c>
      <c r="F16" s="20">
        <v>50</v>
      </c>
      <c r="G16" s="2">
        <v>2</v>
      </c>
      <c r="H16" s="2" t="s">
        <v>79</v>
      </c>
      <c r="I16" s="2"/>
      <c r="J16" s="2" t="s">
        <v>28</v>
      </c>
      <c r="K16" t="s">
        <v>80</v>
      </c>
    </row>
    <row r="17" spans="1:11" x14ac:dyDescent="0.3">
      <c r="B17" s="25" t="s">
        <v>81</v>
      </c>
      <c r="C17" s="25" t="s">
        <v>82</v>
      </c>
      <c r="D17" s="2"/>
      <c r="E17" s="25" t="s">
        <v>83</v>
      </c>
      <c r="F17" s="20">
        <v>9.9760000000000009</v>
      </c>
      <c r="G17" s="2">
        <v>1</v>
      </c>
      <c r="H17" s="2"/>
      <c r="I17" s="2"/>
      <c r="J17" s="2" t="s">
        <v>28</v>
      </c>
    </row>
    <row r="18" spans="1:11" x14ac:dyDescent="0.3">
      <c r="B18" s="25" t="s">
        <v>81</v>
      </c>
      <c r="C18" s="25" t="s">
        <v>82</v>
      </c>
      <c r="D18" s="2"/>
      <c r="E18" s="25" t="s">
        <v>84</v>
      </c>
      <c r="F18" s="20">
        <v>10</v>
      </c>
      <c r="G18" s="2">
        <v>1</v>
      </c>
      <c r="H18" s="2"/>
      <c r="I18" s="2"/>
      <c r="J18" s="2" t="s">
        <v>28</v>
      </c>
    </row>
    <row r="19" spans="1:11" x14ac:dyDescent="0.3">
      <c r="B19" s="25" t="s">
        <v>81</v>
      </c>
      <c r="C19" s="25" t="s">
        <v>82</v>
      </c>
      <c r="D19" s="2"/>
      <c r="E19" s="25" t="s">
        <v>84</v>
      </c>
      <c r="F19" s="20">
        <v>1</v>
      </c>
      <c r="G19" s="2"/>
      <c r="H19" s="2"/>
      <c r="I19" s="2"/>
      <c r="J19" s="2" t="s">
        <v>28</v>
      </c>
    </row>
    <row r="21" spans="1:11" x14ac:dyDescent="0.3">
      <c r="A21" t="s">
        <v>38</v>
      </c>
      <c r="B21" s="36" t="s">
        <v>85</v>
      </c>
      <c r="C21" s="6" t="s">
        <v>86</v>
      </c>
      <c r="D21" s="4">
        <v>214186217</v>
      </c>
      <c r="E21" s="20" t="s">
        <v>87</v>
      </c>
      <c r="F21" s="20">
        <v>523.69000000000005</v>
      </c>
      <c r="G21" s="5" t="s">
        <v>4789</v>
      </c>
      <c r="H21" s="14" t="s">
        <v>63</v>
      </c>
      <c r="I21" s="2" t="s">
        <v>64</v>
      </c>
      <c r="J21" s="2" t="s">
        <v>28</v>
      </c>
      <c r="K21" t="s">
        <v>88</v>
      </c>
    </row>
    <row r="22" spans="1:11" x14ac:dyDescent="0.3">
      <c r="B22" s="27" t="s">
        <v>89</v>
      </c>
      <c r="C22" s="6" t="s">
        <v>90</v>
      </c>
      <c r="D22" s="25" t="s">
        <v>91</v>
      </c>
      <c r="E22" s="16" t="s">
        <v>92</v>
      </c>
      <c r="F22" s="23">
        <v>21</v>
      </c>
      <c r="G22" s="5" t="s">
        <v>577</v>
      </c>
      <c r="H22" s="25" t="s">
        <v>43</v>
      </c>
      <c r="I22" s="2" t="s">
        <v>79</v>
      </c>
      <c r="J22" s="2" t="s">
        <v>28</v>
      </c>
      <c r="K22" t="s">
        <v>93</v>
      </c>
    </row>
    <row r="24" spans="1:11" ht="15.6" x14ac:dyDescent="0.3">
      <c r="A24" t="s">
        <v>60</v>
      </c>
      <c r="B24" s="27" t="s">
        <v>94</v>
      </c>
      <c r="C24" s="12" t="s">
        <v>95</v>
      </c>
      <c r="D24" s="25" t="s">
        <v>4794</v>
      </c>
      <c r="E24" s="16" t="s">
        <v>92</v>
      </c>
      <c r="F24" s="23">
        <v>21</v>
      </c>
      <c r="G24" s="5" t="s">
        <v>439</v>
      </c>
      <c r="H24" s="25" t="s">
        <v>98</v>
      </c>
      <c r="I24" s="2" t="s">
        <v>99</v>
      </c>
      <c r="J24" s="2" t="s">
        <v>28</v>
      </c>
      <c r="K24" t="s">
        <v>93</v>
      </c>
    </row>
    <row r="25" spans="1:11" ht="15.6" x14ac:dyDescent="0.3">
      <c r="B25" s="27" t="s">
        <v>94</v>
      </c>
      <c r="C25" s="31" t="s">
        <v>100</v>
      </c>
      <c r="D25" s="25" t="s">
        <v>101</v>
      </c>
      <c r="E25" s="16" t="s">
        <v>102</v>
      </c>
      <c r="F25" s="23">
        <v>17</v>
      </c>
      <c r="G25" s="34" t="s">
        <v>439</v>
      </c>
      <c r="H25" s="25" t="s">
        <v>98</v>
      </c>
      <c r="I25" s="2" t="s">
        <v>99</v>
      </c>
      <c r="J25" s="25" t="s">
        <v>28</v>
      </c>
      <c r="K25" t="s">
        <v>93</v>
      </c>
    </row>
    <row r="27" spans="1:11" x14ac:dyDescent="0.3">
      <c r="A27" t="s">
        <v>60</v>
      </c>
      <c r="B27" s="27" t="s">
        <v>103</v>
      </c>
      <c r="C27" s="4" t="s">
        <v>104</v>
      </c>
      <c r="D27" s="28" t="s">
        <v>105</v>
      </c>
      <c r="E27" s="25" t="s">
        <v>106</v>
      </c>
      <c r="F27" s="9">
        <v>114.76</v>
      </c>
      <c r="G27" s="5" t="s">
        <v>4795</v>
      </c>
      <c r="H27" s="20" t="s">
        <v>79</v>
      </c>
      <c r="I27" s="2" t="s">
        <v>107</v>
      </c>
      <c r="J27" s="2" t="s">
        <v>28</v>
      </c>
      <c r="K27" s="42" t="s">
        <v>108</v>
      </c>
    </row>
    <row r="29" spans="1:11" x14ac:dyDescent="0.3">
      <c r="A29" t="s">
        <v>38</v>
      </c>
      <c r="B29" s="27" t="s">
        <v>109</v>
      </c>
      <c r="C29" s="25" t="s">
        <v>110</v>
      </c>
      <c r="D29" s="25" t="s">
        <v>111</v>
      </c>
      <c r="E29" s="16" t="s">
        <v>113</v>
      </c>
      <c r="F29" s="20">
        <v>357.79</v>
      </c>
      <c r="G29" s="5" t="s">
        <v>4796</v>
      </c>
      <c r="H29" s="14" t="s">
        <v>114</v>
      </c>
      <c r="I29" s="2" t="s">
        <v>115</v>
      </c>
      <c r="J29" s="20" t="s">
        <v>28</v>
      </c>
    </row>
    <row r="31" spans="1:11" x14ac:dyDescent="0.3">
      <c r="A31" t="s">
        <v>60</v>
      </c>
      <c r="B31" s="36" t="s">
        <v>116</v>
      </c>
      <c r="C31" s="13" t="s">
        <v>117</v>
      </c>
      <c r="D31" s="21">
        <v>213784666</v>
      </c>
      <c r="E31" s="20" t="s">
        <v>118</v>
      </c>
      <c r="F31" s="20">
        <v>526.66999999999996</v>
      </c>
      <c r="G31" s="5" t="s">
        <v>4797</v>
      </c>
      <c r="H31" s="20" t="s">
        <v>119</v>
      </c>
      <c r="I31" s="2" t="s">
        <v>120</v>
      </c>
      <c r="J31" s="2" t="s">
        <v>121</v>
      </c>
      <c r="K31" t="s">
        <v>122</v>
      </c>
    </row>
    <row r="33" spans="1:12" x14ac:dyDescent="0.3">
      <c r="A33" t="s">
        <v>123</v>
      </c>
      <c r="B33" s="45" t="s">
        <v>124</v>
      </c>
      <c r="C33" s="2" t="s">
        <v>125</v>
      </c>
      <c r="D33" s="44" t="s">
        <v>126</v>
      </c>
      <c r="E33" s="46" t="s">
        <v>127</v>
      </c>
      <c r="F33" s="2">
        <v>30</v>
      </c>
      <c r="G33" s="2"/>
      <c r="H33" s="2" t="s">
        <v>128</v>
      </c>
      <c r="I33" s="2"/>
      <c r="J33" s="2" t="s">
        <v>28</v>
      </c>
      <c r="K33" t="s">
        <v>129</v>
      </c>
    </row>
    <row r="35" spans="1:12" x14ac:dyDescent="0.3">
      <c r="A35" t="s">
        <v>38</v>
      </c>
      <c r="B35" s="27" t="s">
        <v>130</v>
      </c>
      <c r="C35" s="25" t="s">
        <v>131</v>
      </c>
      <c r="D35" s="15" t="s">
        <v>132</v>
      </c>
      <c r="E35" s="25" t="s">
        <v>87</v>
      </c>
      <c r="F35" s="20">
        <v>50</v>
      </c>
      <c r="G35" s="5" t="s">
        <v>585</v>
      </c>
      <c r="H35" s="14" t="s">
        <v>44</v>
      </c>
      <c r="I35" s="2" t="s">
        <v>133</v>
      </c>
      <c r="J35" s="2" t="s">
        <v>134</v>
      </c>
      <c r="K35" t="s">
        <v>129</v>
      </c>
    </row>
    <row r="37" spans="1:12" ht="15.6" x14ac:dyDescent="0.3">
      <c r="A37" t="s">
        <v>38</v>
      </c>
      <c r="B37" s="22" t="s">
        <v>116</v>
      </c>
      <c r="C37" s="6" t="s">
        <v>135</v>
      </c>
      <c r="D37" s="21" t="s">
        <v>136</v>
      </c>
      <c r="E37" s="7" t="s">
        <v>137</v>
      </c>
      <c r="F37" s="10">
        <v>22</v>
      </c>
      <c r="G37" s="5" t="s">
        <v>577</v>
      </c>
      <c r="H37" s="14" t="s">
        <v>138</v>
      </c>
      <c r="I37" s="2" t="s">
        <v>139</v>
      </c>
      <c r="J37" s="2" t="s">
        <v>28</v>
      </c>
      <c r="K37" t="s">
        <v>129</v>
      </c>
    </row>
    <row r="39" spans="1:12" x14ac:dyDescent="0.3">
      <c r="A39" t="s">
        <v>60</v>
      </c>
      <c r="B39" s="43" t="s">
        <v>140</v>
      </c>
      <c r="C39" s="19" t="s">
        <v>141</v>
      </c>
      <c r="D39" s="25" t="s">
        <v>142</v>
      </c>
      <c r="E39" s="17" t="s">
        <v>143</v>
      </c>
      <c r="F39" s="2">
        <v>125</v>
      </c>
      <c r="G39" s="5" t="s">
        <v>554</v>
      </c>
      <c r="H39" s="20" t="s">
        <v>114</v>
      </c>
      <c r="I39" s="2" t="s">
        <v>115</v>
      </c>
      <c r="J39" s="2" t="s">
        <v>28</v>
      </c>
      <c r="K39" s="18" t="s">
        <v>144</v>
      </c>
    </row>
    <row r="41" spans="1:12" x14ac:dyDescent="0.3">
      <c r="A41" t="s">
        <v>60</v>
      </c>
      <c r="B41" s="27" t="s">
        <v>145</v>
      </c>
      <c r="C41" s="29" t="s">
        <v>146</v>
      </c>
      <c r="D41" s="15" t="s">
        <v>147</v>
      </c>
      <c r="E41" s="25" t="s">
        <v>106</v>
      </c>
      <c r="F41" s="30">
        <v>273.76</v>
      </c>
      <c r="G41" s="34" t="s">
        <v>504</v>
      </c>
      <c r="H41" s="20" t="s">
        <v>138</v>
      </c>
      <c r="I41" s="2" t="s">
        <v>139</v>
      </c>
      <c r="J41" s="2" t="s">
        <v>28</v>
      </c>
      <c r="K41" t="s">
        <v>148</v>
      </c>
      <c r="L41" t="s">
        <v>119</v>
      </c>
    </row>
    <row r="43" spans="1:12" x14ac:dyDescent="0.3">
      <c r="A43" t="s">
        <v>38</v>
      </c>
      <c r="B43" s="36" t="s">
        <v>149</v>
      </c>
      <c r="C43" s="41" t="s">
        <v>150</v>
      </c>
      <c r="D43" s="2" t="s">
        <v>151</v>
      </c>
      <c r="E43" s="20" t="s">
        <v>152</v>
      </c>
      <c r="F43" s="23">
        <v>20</v>
      </c>
      <c r="G43" s="5" t="s">
        <v>439</v>
      </c>
      <c r="H43" s="25" t="s">
        <v>153</v>
      </c>
      <c r="I43" s="2" t="s">
        <v>154</v>
      </c>
      <c r="J43" s="20" t="s">
        <v>28</v>
      </c>
      <c r="K43" t="s">
        <v>155</v>
      </c>
      <c r="L43" t="s">
        <v>156</v>
      </c>
    </row>
    <row r="45" spans="1:12" x14ac:dyDescent="0.3">
      <c r="A45" t="s">
        <v>60</v>
      </c>
      <c r="B45" s="27" t="s">
        <v>157</v>
      </c>
      <c r="C45" s="20" t="s">
        <v>158</v>
      </c>
      <c r="D45" s="4">
        <v>213734316</v>
      </c>
      <c r="E45" s="7" t="s">
        <v>42</v>
      </c>
      <c r="F45" s="8">
        <v>414.54500000000002</v>
      </c>
      <c r="G45" s="5" t="s">
        <v>4798</v>
      </c>
      <c r="H45" s="20" t="s">
        <v>115</v>
      </c>
      <c r="I45" s="2" t="s">
        <v>159</v>
      </c>
      <c r="J45" s="2" t="s">
        <v>28</v>
      </c>
      <c r="K45" t="s">
        <v>4799</v>
      </c>
    </row>
    <row r="47" spans="1:12" x14ac:dyDescent="0.3">
      <c r="A47" t="s">
        <v>123</v>
      </c>
      <c r="B47" s="27" t="s">
        <v>161</v>
      </c>
      <c r="C47" s="16" t="s">
        <v>162</v>
      </c>
      <c r="D47" s="19">
        <v>608795798</v>
      </c>
      <c r="E47" s="25" t="s">
        <v>163</v>
      </c>
      <c r="F47" s="20">
        <v>32</v>
      </c>
      <c r="G47" s="2" t="s">
        <v>585</v>
      </c>
      <c r="H47" s="19" t="s">
        <v>138</v>
      </c>
      <c r="I47" s="2" t="s">
        <v>164</v>
      </c>
      <c r="J47" s="2" t="s">
        <v>28</v>
      </c>
      <c r="K47" s="18" t="s">
        <v>165</v>
      </c>
    </row>
    <row r="48" spans="1:12" x14ac:dyDescent="0.3">
      <c r="B48" s="45" t="s">
        <v>166</v>
      </c>
      <c r="C48" s="2" t="s">
        <v>167</v>
      </c>
      <c r="D48" s="2" t="s">
        <v>168</v>
      </c>
      <c r="E48" s="51" t="s">
        <v>169</v>
      </c>
      <c r="F48" s="25">
        <v>56</v>
      </c>
      <c r="G48" s="2">
        <v>2</v>
      </c>
      <c r="H48" s="2" t="s">
        <v>170</v>
      </c>
      <c r="I48" s="2"/>
      <c r="J48" s="2" t="s">
        <v>171</v>
      </c>
    </row>
    <row r="49" spans="1:12" x14ac:dyDescent="0.3">
      <c r="B49" s="45" t="s">
        <v>166</v>
      </c>
      <c r="C49" s="2" t="s">
        <v>172</v>
      </c>
      <c r="D49" s="19">
        <v>397</v>
      </c>
      <c r="E49" s="46" t="s">
        <v>173</v>
      </c>
      <c r="F49" s="25">
        <v>28</v>
      </c>
      <c r="G49" s="2">
        <v>1</v>
      </c>
      <c r="H49" s="2" t="s">
        <v>170</v>
      </c>
      <c r="I49" s="2"/>
      <c r="J49" s="2" t="s">
        <v>171</v>
      </c>
    </row>
    <row r="51" spans="1:12" x14ac:dyDescent="0.3">
      <c r="A51" t="s">
        <v>55</v>
      </c>
      <c r="B51" s="27" t="s">
        <v>89</v>
      </c>
      <c r="C51" s="4" t="s">
        <v>174</v>
      </c>
      <c r="D51" s="25" t="s">
        <v>4800</v>
      </c>
      <c r="E51" s="16" t="s">
        <v>102</v>
      </c>
      <c r="F51" s="23">
        <v>17</v>
      </c>
      <c r="G51" s="5" t="s">
        <v>439</v>
      </c>
      <c r="H51" s="25" t="s">
        <v>177</v>
      </c>
      <c r="I51" s="2" t="s">
        <v>178</v>
      </c>
      <c r="J51" s="20" t="s">
        <v>121</v>
      </c>
      <c r="K51" t="s">
        <v>179</v>
      </c>
      <c r="L51" t="s">
        <v>180</v>
      </c>
    </row>
    <row r="52" spans="1:12" x14ac:dyDescent="0.3">
      <c r="B52" s="27" t="s">
        <v>89</v>
      </c>
      <c r="C52" s="4" t="s">
        <v>181</v>
      </c>
      <c r="D52" s="25" t="s">
        <v>4801</v>
      </c>
      <c r="E52" s="16" t="s">
        <v>102</v>
      </c>
      <c r="F52" s="23">
        <v>17</v>
      </c>
      <c r="G52" s="5" t="s">
        <v>439</v>
      </c>
      <c r="H52" s="25" t="s">
        <v>177</v>
      </c>
      <c r="I52" s="2" t="s">
        <v>178</v>
      </c>
      <c r="J52" s="20" t="s">
        <v>121</v>
      </c>
    </row>
    <row r="54" spans="1:12" x14ac:dyDescent="0.3">
      <c r="A54" t="s">
        <v>55</v>
      </c>
      <c r="B54" s="20" t="s">
        <v>183</v>
      </c>
      <c r="C54" s="6" t="s">
        <v>184</v>
      </c>
      <c r="D54" s="6" t="s">
        <v>185</v>
      </c>
      <c r="E54" s="7" t="s">
        <v>186</v>
      </c>
      <c r="F54" s="10">
        <v>500</v>
      </c>
      <c r="G54" s="2"/>
      <c r="H54" s="2"/>
      <c r="I54" s="2"/>
      <c r="J54" s="2" t="s">
        <v>28</v>
      </c>
      <c r="K54" t="s">
        <v>179</v>
      </c>
      <c r="L54" t="s">
        <v>180</v>
      </c>
    </row>
    <row r="56" spans="1:12" ht="15.6" x14ac:dyDescent="0.3">
      <c r="A56" t="s">
        <v>60</v>
      </c>
      <c r="B56" s="27" t="s">
        <v>94</v>
      </c>
      <c r="C56" s="33" t="s">
        <v>187</v>
      </c>
      <c r="D56" s="25" t="s">
        <v>188</v>
      </c>
      <c r="E56" s="16" t="s">
        <v>102</v>
      </c>
      <c r="F56" s="38">
        <v>17</v>
      </c>
      <c r="G56" s="34" t="s">
        <v>439</v>
      </c>
      <c r="H56" s="25" t="s">
        <v>177</v>
      </c>
      <c r="I56" s="2" t="s">
        <v>190</v>
      </c>
      <c r="J56" s="2" t="s">
        <v>28</v>
      </c>
      <c r="K56" t="s">
        <v>180</v>
      </c>
      <c r="L56" t="s">
        <v>191</v>
      </c>
    </row>
    <row r="58" spans="1:12" x14ac:dyDescent="0.3">
      <c r="A58" t="s">
        <v>38</v>
      </c>
      <c r="B58" s="27" t="s">
        <v>89</v>
      </c>
      <c r="C58" s="6" t="s">
        <v>192</v>
      </c>
      <c r="D58" s="25" t="s">
        <v>4802</v>
      </c>
      <c r="E58" s="16" t="s">
        <v>102</v>
      </c>
      <c r="F58" s="23">
        <v>17</v>
      </c>
      <c r="G58" s="5" t="s">
        <v>577</v>
      </c>
      <c r="H58" s="25" t="s">
        <v>194</v>
      </c>
      <c r="I58" s="2" t="s">
        <v>190</v>
      </c>
      <c r="J58" s="20" t="s">
        <v>28</v>
      </c>
      <c r="K58" t="s">
        <v>154</v>
      </c>
      <c r="L58" t="s">
        <v>155</v>
      </c>
    </row>
    <row r="59" spans="1:12" x14ac:dyDescent="0.3">
      <c r="B59" s="27" t="s">
        <v>94</v>
      </c>
      <c r="C59" s="37" t="s">
        <v>195</v>
      </c>
      <c r="D59" s="2" t="s">
        <v>4803</v>
      </c>
      <c r="E59" s="16" t="s">
        <v>92</v>
      </c>
      <c r="F59" s="23">
        <v>21</v>
      </c>
      <c r="G59" s="5" t="s">
        <v>439</v>
      </c>
      <c r="H59" s="20" t="s">
        <v>197</v>
      </c>
      <c r="I59" s="2" t="s">
        <v>190</v>
      </c>
      <c r="J59" s="20" t="s">
        <v>28</v>
      </c>
      <c r="K59" t="s">
        <v>154</v>
      </c>
      <c r="L59" t="s">
        <v>155</v>
      </c>
    </row>
    <row r="60" spans="1:12" x14ac:dyDescent="0.3">
      <c r="B60" s="27" t="s">
        <v>130</v>
      </c>
      <c r="C60" s="15" t="s">
        <v>198</v>
      </c>
      <c r="D60" s="15" t="s">
        <v>199</v>
      </c>
      <c r="E60" s="25" t="s">
        <v>87</v>
      </c>
      <c r="F60" s="20">
        <v>1003.3630000000001</v>
      </c>
      <c r="G60" s="5" t="s">
        <v>4804</v>
      </c>
      <c r="H60" s="25" t="s">
        <v>154</v>
      </c>
      <c r="I60" s="2" t="s">
        <v>200</v>
      </c>
      <c r="J60" s="20" t="s">
        <v>28</v>
      </c>
      <c r="K60" t="s">
        <v>201</v>
      </c>
      <c r="L60" t="s">
        <v>164</v>
      </c>
    </row>
    <row r="62" spans="1:12" x14ac:dyDescent="0.3">
      <c r="A62" t="s">
        <v>60</v>
      </c>
      <c r="B62" s="20" t="s">
        <v>202</v>
      </c>
      <c r="C62" s="20" t="s">
        <v>203</v>
      </c>
      <c r="D62" s="2" t="s">
        <v>204</v>
      </c>
      <c r="E62" s="20" t="s">
        <v>205</v>
      </c>
      <c r="F62" s="53">
        <v>30</v>
      </c>
      <c r="G62" s="5">
        <v>1</v>
      </c>
      <c r="H62" s="61" t="s">
        <v>180</v>
      </c>
      <c r="I62" s="2"/>
      <c r="J62" s="2" t="s">
        <v>28</v>
      </c>
      <c r="K62" t="s">
        <v>191</v>
      </c>
    </row>
    <row r="63" spans="1:12" ht="15.6" x14ac:dyDescent="0.3">
      <c r="B63" s="11" t="s">
        <v>206</v>
      </c>
      <c r="C63" s="2" t="s">
        <v>207</v>
      </c>
      <c r="D63" s="2" t="s">
        <v>208</v>
      </c>
      <c r="E63" s="2" t="s">
        <v>209</v>
      </c>
      <c r="F63" s="2">
        <v>50.16</v>
      </c>
      <c r="G63" s="2">
        <v>2</v>
      </c>
      <c r="H63" s="59" t="s">
        <v>133</v>
      </c>
      <c r="I63" s="2"/>
      <c r="J63" s="2" t="s">
        <v>121</v>
      </c>
      <c r="K63" t="s">
        <v>210</v>
      </c>
    </row>
    <row r="64" spans="1:12" x14ac:dyDescent="0.3">
      <c r="B64" s="20" t="s">
        <v>202</v>
      </c>
      <c r="C64" s="20"/>
      <c r="D64" s="2" t="s">
        <v>211</v>
      </c>
      <c r="E64" s="20" t="s">
        <v>205</v>
      </c>
      <c r="F64" s="53">
        <v>30</v>
      </c>
      <c r="G64" s="5">
        <v>1</v>
      </c>
      <c r="H64" s="61" t="s">
        <v>133</v>
      </c>
      <c r="I64" s="2"/>
      <c r="J64" s="2" t="s">
        <v>212</v>
      </c>
      <c r="K64" t="s">
        <v>191</v>
      </c>
    </row>
    <row r="66" spans="1:13" x14ac:dyDescent="0.3">
      <c r="A66" t="s">
        <v>38</v>
      </c>
      <c r="B66" s="27" t="s">
        <v>85</v>
      </c>
      <c r="C66" s="25" t="s">
        <v>213</v>
      </c>
      <c r="D66" s="3" t="s">
        <v>214</v>
      </c>
      <c r="E66" s="25" t="s">
        <v>87</v>
      </c>
      <c r="F66" s="20">
        <v>516.27099999999996</v>
      </c>
      <c r="G66" s="5" t="s">
        <v>4793</v>
      </c>
      <c r="H66" s="20" t="s">
        <v>215</v>
      </c>
      <c r="I66" s="2" t="s">
        <v>216</v>
      </c>
      <c r="J66" s="20" t="s">
        <v>28</v>
      </c>
      <c r="K66" s="54" t="s">
        <v>217</v>
      </c>
      <c r="L66" s="54"/>
      <c r="M66" s="54" t="s">
        <v>218</v>
      </c>
    </row>
    <row r="67" spans="1:13" x14ac:dyDescent="0.3">
      <c r="A67" t="s">
        <v>38</v>
      </c>
      <c r="B67" s="27" t="s">
        <v>149</v>
      </c>
      <c r="C67" s="4" t="s">
        <v>219</v>
      </c>
      <c r="D67" s="25" t="s">
        <v>220</v>
      </c>
      <c r="E67" s="25" t="s">
        <v>152</v>
      </c>
      <c r="F67" s="23">
        <v>20</v>
      </c>
      <c r="G67" s="5" t="s">
        <v>577</v>
      </c>
      <c r="H67" s="2" t="s">
        <v>221</v>
      </c>
      <c r="I67" s="2" t="s">
        <v>216</v>
      </c>
      <c r="J67" s="20" t="s">
        <v>222</v>
      </c>
      <c r="K67" t="s">
        <v>223</v>
      </c>
      <c r="L67" t="s">
        <v>224</v>
      </c>
    </row>
    <row r="69" spans="1:13" x14ac:dyDescent="0.3">
      <c r="A69" t="s">
        <v>60</v>
      </c>
      <c r="B69" s="36" t="s">
        <v>149</v>
      </c>
      <c r="C69" s="6" t="s">
        <v>225</v>
      </c>
      <c r="D69" s="50" t="s">
        <v>226</v>
      </c>
      <c r="E69" s="20" t="s">
        <v>152</v>
      </c>
      <c r="F69" s="23">
        <v>20</v>
      </c>
      <c r="G69" s="34" t="s">
        <v>439</v>
      </c>
      <c r="H69" s="60" t="s">
        <v>227</v>
      </c>
      <c r="I69" s="2" t="s">
        <v>228</v>
      </c>
      <c r="J69" s="2" t="s">
        <v>229</v>
      </c>
      <c r="K69" t="s">
        <v>191</v>
      </c>
      <c r="L69" t="s">
        <v>223</v>
      </c>
    </row>
    <row r="71" spans="1:13" x14ac:dyDescent="0.3">
      <c r="A71" t="s">
        <v>123</v>
      </c>
      <c r="B71" s="597" t="s">
        <v>230</v>
      </c>
      <c r="C71" s="592" t="s">
        <v>231</v>
      </c>
      <c r="D71" s="2"/>
      <c r="E71" s="25" t="s">
        <v>127</v>
      </c>
      <c r="F71" s="25">
        <v>29.9</v>
      </c>
      <c r="G71" s="19">
        <v>1</v>
      </c>
      <c r="H71" s="2" t="s">
        <v>215</v>
      </c>
      <c r="I71" s="2"/>
      <c r="J71" s="2" t="s">
        <v>28</v>
      </c>
      <c r="K71" t="s">
        <v>232</v>
      </c>
    </row>
    <row r="72" spans="1:13" x14ac:dyDescent="0.3">
      <c r="B72" s="597"/>
      <c r="C72" s="592"/>
      <c r="D72" s="2"/>
      <c r="E72" s="58" t="s">
        <v>233</v>
      </c>
      <c r="F72" s="25">
        <v>100</v>
      </c>
      <c r="G72" s="2"/>
      <c r="H72" s="2" t="s">
        <v>215</v>
      </c>
      <c r="I72" s="2"/>
      <c r="J72" s="2" t="s">
        <v>28</v>
      </c>
    </row>
    <row r="74" spans="1:13" ht="72" x14ac:dyDescent="0.3">
      <c r="A74" t="s">
        <v>38</v>
      </c>
      <c r="B74" s="22" t="s">
        <v>39</v>
      </c>
      <c r="C74" s="6" t="s">
        <v>234</v>
      </c>
      <c r="D74" s="4">
        <v>214542084</v>
      </c>
      <c r="E74" s="7" t="s">
        <v>42</v>
      </c>
      <c r="F74" s="56">
        <v>464.90600000000001</v>
      </c>
      <c r="G74" s="5" t="s">
        <v>4805</v>
      </c>
      <c r="H74" s="20" t="s">
        <v>215</v>
      </c>
      <c r="I74" s="2" t="s">
        <v>216</v>
      </c>
      <c r="J74" s="24" t="s">
        <v>235</v>
      </c>
      <c r="K74" t="s">
        <v>236</v>
      </c>
    </row>
    <row r="75" spans="1:13" x14ac:dyDescent="0.3">
      <c r="B75" s="27" t="s">
        <v>85</v>
      </c>
      <c r="C75" s="25" t="s">
        <v>237</v>
      </c>
      <c r="D75" s="15" t="s">
        <v>238</v>
      </c>
      <c r="E75" s="25" t="s">
        <v>87</v>
      </c>
      <c r="F75" s="25">
        <v>525.20600000000002</v>
      </c>
      <c r="G75" s="5" t="s">
        <v>4789</v>
      </c>
      <c r="H75" s="20" t="s">
        <v>215</v>
      </c>
      <c r="I75" s="2" t="s">
        <v>216</v>
      </c>
      <c r="J75" s="20" t="s">
        <v>28</v>
      </c>
      <c r="K75" t="s">
        <v>239</v>
      </c>
    </row>
    <row r="77" spans="1:13" x14ac:dyDescent="0.3">
      <c r="A77" t="s">
        <v>60</v>
      </c>
      <c r="B77" s="36" t="s">
        <v>240</v>
      </c>
      <c r="C77" s="6" t="s">
        <v>241</v>
      </c>
      <c r="D77" s="3" t="s">
        <v>242</v>
      </c>
      <c r="E77" s="20" t="s">
        <v>243</v>
      </c>
      <c r="F77" s="8">
        <v>78.959999999999994</v>
      </c>
      <c r="G77" s="5" t="s">
        <v>4806</v>
      </c>
      <c r="H77" s="61" t="s">
        <v>223</v>
      </c>
      <c r="I77" s="2" t="s">
        <v>228</v>
      </c>
      <c r="J77" s="2" t="s">
        <v>28</v>
      </c>
      <c r="K77" t="s">
        <v>191</v>
      </c>
      <c r="L77" t="s">
        <v>244</v>
      </c>
    </row>
    <row r="78" spans="1:13" x14ac:dyDescent="0.3">
      <c r="B78" s="27" t="s">
        <v>157</v>
      </c>
      <c r="C78" s="20" t="s">
        <v>158</v>
      </c>
      <c r="D78" s="35">
        <v>214630209</v>
      </c>
      <c r="E78" s="16" t="s">
        <v>42</v>
      </c>
      <c r="F78" s="8">
        <v>103.428</v>
      </c>
      <c r="G78" s="5" t="s">
        <v>4807</v>
      </c>
      <c r="H78" s="61" t="s">
        <v>223</v>
      </c>
      <c r="I78" s="2" t="s">
        <v>228</v>
      </c>
      <c r="J78" s="2" t="s">
        <v>28</v>
      </c>
      <c r="K78" t="s">
        <v>246</v>
      </c>
    </row>
    <row r="80" spans="1:13" x14ac:dyDescent="0.3">
      <c r="A80" t="s">
        <v>38</v>
      </c>
      <c r="B80" s="36" t="s">
        <v>85</v>
      </c>
      <c r="C80" s="20" t="s">
        <v>213</v>
      </c>
      <c r="D80" s="3" t="s">
        <v>247</v>
      </c>
      <c r="E80" s="20" t="s">
        <v>87</v>
      </c>
      <c r="F80" s="20">
        <v>482.649</v>
      </c>
      <c r="G80" s="34" t="s">
        <v>4808</v>
      </c>
      <c r="H80" s="20" t="s">
        <v>159</v>
      </c>
      <c r="I80" s="2" t="s">
        <v>248</v>
      </c>
      <c r="J80" s="20" t="s">
        <v>249</v>
      </c>
      <c r="K80" s="54" t="s">
        <v>250</v>
      </c>
    </row>
    <row r="82" spans="1:12" x14ac:dyDescent="0.3">
      <c r="A82" t="s">
        <v>123</v>
      </c>
      <c r="B82" s="45" t="s">
        <v>166</v>
      </c>
      <c r="C82" s="2" t="s">
        <v>251</v>
      </c>
      <c r="D82" s="2" t="s">
        <v>252</v>
      </c>
      <c r="E82" s="45" t="s">
        <v>253</v>
      </c>
      <c r="F82" s="25">
        <v>56</v>
      </c>
      <c r="G82" s="50">
        <v>2</v>
      </c>
      <c r="H82" s="2" t="s">
        <v>254</v>
      </c>
      <c r="I82" s="50">
        <v>2</v>
      </c>
      <c r="J82" s="2" t="s">
        <v>28</v>
      </c>
      <c r="K82" t="s">
        <v>255</v>
      </c>
    </row>
    <row r="83" spans="1:12" x14ac:dyDescent="0.3">
      <c r="A83" t="s">
        <v>38</v>
      </c>
      <c r="B83" s="27" t="s">
        <v>109</v>
      </c>
      <c r="C83" s="25" t="s">
        <v>256</v>
      </c>
      <c r="D83" s="25" t="s">
        <v>257</v>
      </c>
      <c r="E83" s="16" t="s">
        <v>113</v>
      </c>
      <c r="F83" s="20">
        <v>362.28</v>
      </c>
      <c r="G83" s="5" t="s">
        <v>4796</v>
      </c>
      <c r="H83" s="20" t="s">
        <v>244</v>
      </c>
      <c r="I83" s="2" t="s">
        <v>258</v>
      </c>
      <c r="J83" s="20" t="s">
        <v>259</v>
      </c>
      <c r="K83" s="54" t="s">
        <v>200</v>
      </c>
      <c r="L83" s="54"/>
    </row>
    <row r="84" spans="1:12" ht="15.6" x14ac:dyDescent="0.3">
      <c r="A84" t="s">
        <v>60</v>
      </c>
      <c r="B84" s="22" t="s">
        <v>39</v>
      </c>
      <c r="C84" s="20" t="s">
        <v>260</v>
      </c>
      <c r="D84" s="6">
        <v>214487829</v>
      </c>
      <c r="E84" s="7" t="s">
        <v>42</v>
      </c>
      <c r="F84" s="47">
        <v>441.27199999999999</v>
      </c>
      <c r="G84" s="34" t="s">
        <v>4809</v>
      </c>
      <c r="H84" s="61" t="s">
        <v>159</v>
      </c>
      <c r="I84" s="2" t="s">
        <v>248</v>
      </c>
      <c r="J84" s="2" t="s">
        <v>28</v>
      </c>
      <c r="K84" t="s">
        <v>261</v>
      </c>
    </row>
    <row r="86" spans="1:12" x14ac:dyDescent="0.3">
      <c r="B86" s="20" t="s">
        <v>262</v>
      </c>
      <c r="C86" s="6" t="s">
        <v>263</v>
      </c>
      <c r="D86" s="25" t="s">
        <v>4810</v>
      </c>
      <c r="E86" s="20" t="s">
        <v>265</v>
      </c>
      <c r="F86" s="65">
        <v>1.5</v>
      </c>
      <c r="G86" s="2"/>
      <c r="H86" s="6" t="s">
        <v>215</v>
      </c>
      <c r="I86" s="2">
        <v>2</v>
      </c>
      <c r="J86" s="2" t="s">
        <v>28</v>
      </c>
    </row>
    <row r="87" spans="1:12" x14ac:dyDescent="0.3">
      <c r="B87" s="20" t="s">
        <v>262</v>
      </c>
      <c r="C87" s="6" t="s">
        <v>263</v>
      </c>
      <c r="D87" s="25" t="s">
        <v>4810</v>
      </c>
      <c r="E87" s="20" t="s">
        <v>267</v>
      </c>
      <c r="F87" s="65">
        <v>1.5</v>
      </c>
      <c r="G87" s="2"/>
      <c r="H87" s="6" t="s">
        <v>215</v>
      </c>
      <c r="I87" s="2">
        <v>2</v>
      </c>
      <c r="J87" s="2" t="s">
        <v>28</v>
      </c>
    </row>
    <row r="89" spans="1:12" x14ac:dyDescent="0.3">
      <c r="A89" t="s">
        <v>38</v>
      </c>
      <c r="B89" s="27" t="s">
        <v>109</v>
      </c>
      <c r="C89" s="25" t="s">
        <v>268</v>
      </c>
      <c r="D89" s="25" t="s">
        <v>269</v>
      </c>
      <c r="E89" s="16" t="s">
        <v>113</v>
      </c>
      <c r="F89" s="20">
        <v>357.59</v>
      </c>
      <c r="G89" s="5" t="s">
        <v>4796</v>
      </c>
      <c r="H89" s="20" t="s">
        <v>244</v>
      </c>
      <c r="I89" s="2" t="s">
        <v>258</v>
      </c>
      <c r="J89" s="20" t="s">
        <v>28</v>
      </c>
      <c r="K89" s="54" t="s">
        <v>270</v>
      </c>
      <c r="L89" s="54"/>
    </row>
    <row r="90" spans="1:12" x14ac:dyDescent="0.3">
      <c r="B90" s="36" t="s">
        <v>271</v>
      </c>
      <c r="C90" s="2" t="s">
        <v>272</v>
      </c>
      <c r="D90" s="2" t="s">
        <v>273</v>
      </c>
      <c r="E90" s="7" t="s">
        <v>274</v>
      </c>
      <c r="F90" s="56">
        <v>7.6749999999999998</v>
      </c>
      <c r="G90" s="5" t="s">
        <v>439</v>
      </c>
      <c r="H90" s="6" t="s">
        <v>221</v>
      </c>
      <c r="I90" s="2" t="s">
        <v>258</v>
      </c>
      <c r="J90" s="2" t="s">
        <v>275</v>
      </c>
      <c r="K90" t="s">
        <v>276</v>
      </c>
      <c r="L90" t="s">
        <v>55</v>
      </c>
    </row>
    <row r="91" spans="1:12" ht="15.6" x14ac:dyDescent="0.3">
      <c r="B91" s="22" t="s">
        <v>157</v>
      </c>
      <c r="C91" s="6" t="s">
        <v>277</v>
      </c>
      <c r="D91" s="21" t="s">
        <v>278</v>
      </c>
      <c r="E91" s="7" t="s">
        <v>279</v>
      </c>
      <c r="F91" s="10">
        <v>22</v>
      </c>
      <c r="G91" s="5" t="s">
        <v>439</v>
      </c>
      <c r="H91" s="20" t="s">
        <v>254</v>
      </c>
      <c r="I91" s="20" t="s">
        <v>280</v>
      </c>
      <c r="J91" s="2" t="s">
        <v>28</v>
      </c>
      <c r="K91" t="s">
        <v>276</v>
      </c>
      <c r="L91" t="s">
        <v>55</v>
      </c>
    </row>
    <row r="93" spans="1:12" x14ac:dyDescent="0.3">
      <c r="A93" t="s">
        <v>38</v>
      </c>
      <c r="B93" s="27" t="s">
        <v>130</v>
      </c>
      <c r="C93" s="15" t="s">
        <v>198</v>
      </c>
      <c r="D93" s="19">
        <v>214245311</v>
      </c>
      <c r="E93" s="25" t="s">
        <v>87</v>
      </c>
      <c r="F93" s="25">
        <v>501.68299999999999</v>
      </c>
      <c r="G93" s="5" t="s">
        <v>524</v>
      </c>
      <c r="H93" s="20" t="s">
        <v>255</v>
      </c>
      <c r="I93" s="2" t="s">
        <v>281</v>
      </c>
      <c r="J93" s="20" t="s">
        <v>28</v>
      </c>
      <c r="K93" t="s">
        <v>282</v>
      </c>
    </row>
    <row r="95" spans="1:12" x14ac:dyDescent="0.3">
      <c r="A95" t="s">
        <v>60</v>
      </c>
      <c r="B95" s="36" t="s">
        <v>94</v>
      </c>
      <c r="C95" s="6" t="s">
        <v>283</v>
      </c>
      <c r="D95" s="25" t="s">
        <v>284</v>
      </c>
      <c r="E95" s="7" t="s">
        <v>92</v>
      </c>
      <c r="F95" s="38">
        <v>21</v>
      </c>
      <c r="G95" s="34" t="s">
        <v>439</v>
      </c>
      <c r="H95" s="61" t="s">
        <v>285</v>
      </c>
      <c r="I95" s="2" t="s">
        <v>248</v>
      </c>
      <c r="J95" s="2" t="s">
        <v>28</v>
      </c>
      <c r="K95" t="s">
        <v>286</v>
      </c>
    </row>
    <row r="97" spans="1:13" x14ac:dyDescent="0.3">
      <c r="A97" t="s">
        <v>287</v>
      </c>
      <c r="B97" s="25" t="s">
        <v>288</v>
      </c>
      <c r="C97" s="2" t="s">
        <v>289</v>
      </c>
      <c r="D97" s="2" t="s">
        <v>4811</v>
      </c>
      <c r="E97" s="25" t="s">
        <v>292</v>
      </c>
      <c r="F97" s="25">
        <v>10.148</v>
      </c>
      <c r="G97" s="19">
        <v>1</v>
      </c>
      <c r="H97" s="2" t="s">
        <v>282</v>
      </c>
      <c r="I97" s="2"/>
      <c r="J97" s="2" t="s">
        <v>293</v>
      </c>
      <c r="K97" t="s">
        <v>258</v>
      </c>
    </row>
    <row r="98" spans="1:13" x14ac:dyDescent="0.3">
      <c r="A98" t="s">
        <v>4812</v>
      </c>
      <c r="B98" s="16" t="s">
        <v>230</v>
      </c>
      <c r="C98" s="2" t="s">
        <v>295</v>
      </c>
      <c r="D98" s="2"/>
      <c r="E98" s="67" t="s">
        <v>127</v>
      </c>
      <c r="F98" s="25">
        <v>40000</v>
      </c>
      <c r="G98" s="2">
        <v>2</v>
      </c>
      <c r="H98" s="2" t="s">
        <v>276</v>
      </c>
      <c r="I98" s="2">
        <v>2</v>
      </c>
      <c r="J98" s="2" t="s">
        <v>28</v>
      </c>
      <c r="K98" t="s">
        <v>228</v>
      </c>
    </row>
    <row r="99" spans="1:13" x14ac:dyDescent="0.3">
      <c r="A99" t="s">
        <v>60</v>
      </c>
      <c r="B99" s="36" t="s">
        <v>240</v>
      </c>
      <c r="C99" s="32" t="s">
        <v>296</v>
      </c>
      <c r="D99" s="3" t="s">
        <v>297</v>
      </c>
      <c r="E99" s="20" t="s">
        <v>106</v>
      </c>
      <c r="F99" s="9">
        <v>125.14</v>
      </c>
      <c r="G99" s="34" t="s">
        <v>554</v>
      </c>
      <c r="H99" s="61" t="s">
        <v>216</v>
      </c>
      <c r="I99" s="2" t="s">
        <v>298</v>
      </c>
      <c r="J99" s="2" t="s">
        <v>28</v>
      </c>
      <c r="K99" t="s">
        <v>191</v>
      </c>
      <c r="L99" t="s">
        <v>299</v>
      </c>
    </row>
    <row r="101" spans="1:13" x14ac:dyDescent="0.3">
      <c r="A101" t="s">
        <v>38</v>
      </c>
      <c r="B101" s="27" t="s">
        <v>109</v>
      </c>
      <c r="C101" s="25" t="s">
        <v>300</v>
      </c>
      <c r="D101" s="25" t="s">
        <v>301</v>
      </c>
      <c r="E101" s="16" t="s">
        <v>113</v>
      </c>
      <c r="F101" s="20">
        <v>479.38</v>
      </c>
      <c r="G101" s="5" t="s">
        <v>524</v>
      </c>
      <c r="H101" s="20" t="s">
        <v>282</v>
      </c>
      <c r="I101" s="2" t="s">
        <v>302</v>
      </c>
      <c r="J101" s="20" t="s">
        <v>28</v>
      </c>
      <c r="K101" s="54" t="s">
        <v>248</v>
      </c>
    </row>
    <row r="102" spans="1:13" x14ac:dyDescent="0.3">
      <c r="A102" t="s">
        <v>38</v>
      </c>
      <c r="B102" s="25" t="s">
        <v>303</v>
      </c>
      <c r="C102" s="2" t="s">
        <v>304</v>
      </c>
      <c r="D102" s="2" t="s">
        <v>305</v>
      </c>
      <c r="E102" s="2" t="s">
        <v>306</v>
      </c>
      <c r="F102" s="44" t="s">
        <v>307</v>
      </c>
      <c r="G102" s="5" t="s">
        <v>439</v>
      </c>
      <c r="H102" s="25" t="s">
        <v>308</v>
      </c>
      <c r="I102" s="2"/>
      <c r="J102" s="20" t="s">
        <v>121</v>
      </c>
      <c r="K102" t="s">
        <v>309</v>
      </c>
    </row>
    <row r="103" spans="1:13" x14ac:dyDescent="0.3">
      <c r="A103" t="s">
        <v>60</v>
      </c>
      <c r="B103" s="36" t="s">
        <v>149</v>
      </c>
      <c r="C103" s="6" t="s">
        <v>310</v>
      </c>
      <c r="D103" s="6" t="s">
        <v>311</v>
      </c>
      <c r="E103" s="20" t="s">
        <v>152</v>
      </c>
      <c r="F103" s="55">
        <v>20</v>
      </c>
      <c r="G103" s="34" t="s">
        <v>439</v>
      </c>
      <c r="H103" s="2" t="s">
        <v>276</v>
      </c>
      <c r="I103" s="2" t="s">
        <v>313</v>
      </c>
      <c r="J103" s="2" t="s">
        <v>28</v>
      </c>
      <c r="K103" s="18" t="s">
        <v>309</v>
      </c>
      <c r="L103" s="18"/>
    </row>
    <row r="104" spans="1:13" x14ac:dyDescent="0.3">
      <c r="A104" t="s">
        <v>60</v>
      </c>
      <c r="B104" s="36" t="s">
        <v>149</v>
      </c>
      <c r="C104" s="6" t="s">
        <v>314</v>
      </c>
      <c r="D104" s="6" t="s">
        <v>315</v>
      </c>
      <c r="E104" s="20" t="s">
        <v>152</v>
      </c>
      <c r="F104" s="55">
        <v>20</v>
      </c>
      <c r="G104" s="34" t="s">
        <v>439</v>
      </c>
      <c r="H104" s="6" t="s">
        <v>276</v>
      </c>
      <c r="I104" s="2" t="s">
        <v>313</v>
      </c>
      <c r="J104" s="2" t="s">
        <v>28</v>
      </c>
      <c r="K104" t="s">
        <v>309</v>
      </c>
      <c r="L104" s="18"/>
    </row>
    <row r="106" spans="1:13" x14ac:dyDescent="0.3">
      <c r="A106" t="s">
        <v>55</v>
      </c>
      <c r="B106" s="27" t="s">
        <v>130</v>
      </c>
      <c r="C106" s="15" t="s">
        <v>316</v>
      </c>
      <c r="D106" s="15" t="s">
        <v>317</v>
      </c>
      <c r="E106" s="25" t="s">
        <v>87</v>
      </c>
      <c r="F106" s="20">
        <v>976.48400000000004</v>
      </c>
      <c r="G106" s="5" t="s">
        <v>4813</v>
      </c>
      <c r="H106" s="20" t="s">
        <v>318</v>
      </c>
      <c r="I106" s="44" t="s">
        <v>281</v>
      </c>
      <c r="J106" s="20" t="s">
        <v>319</v>
      </c>
      <c r="K106" s="54" t="s">
        <v>320</v>
      </c>
    </row>
    <row r="107" spans="1:13" x14ac:dyDescent="0.3">
      <c r="B107" s="36" t="s">
        <v>149</v>
      </c>
      <c r="C107" s="6" t="s">
        <v>321</v>
      </c>
      <c r="D107" s="62" t="s">
        <v>322</v>
      </c>
      <c r="E107" s="20" t="s">
        <v>152</v>
      </c>
      <c r="F107" s="55">
        <v>20</v>
      </c>
      <c r="G107" s="5" t="s">
        <v>439</v>
      </c>
      <c r="H107" s="20" t="s">
        <v>248</v>
      </c>
      <c r="I107" s="44" t="s">
        <v>323</v>
      </c>
      <c r="J107" s="2" t="s">
        <v>28</v>
      </c>
      <c r="K107" t="s">
        <v>320</v>
      </c>
    </row>
    <row r="109" spans="1:13" x14ac:dyDescent="0.3">
      <c r="A109" t="s">
        <v>123</v>
      </c>
      <c r="B109" s="4" t="s">
        <v>324</v>
      </c>
      <c r="C109" s="19" t="s">
        <v>325</v>
      </c>
      <c r="D109" s="2" t="s">
        <v>4814</v>
      </c>
      <c r="E109" s="58" t="s">
        <v>328</v>
      </c>
      <c r="F109" s="25">
        <v>10</v>
      </c>
      <c r="G109" s="70">
        <v>1</v>
      </c>
      <c r="H109" s="2" t="s">
        <v>248</v>
      </c>
      <c r="I109" s="2">
        <v>2</v>
      </c>
      <c r="J109" s="2" t="s">
        <v>329</v>
      </c>
    </row>
    <row r="110" spans="1:13" ht="15.6" x14ac:dyDescent="0.3">
      <c r="A110" t="s">
        <v>123</v>
      </c>
      <c r="B110" s="25" t="s">
        <v>330</v>
      </c>
      <c r="C110" s="11" t="s">
        <v>331</v>
      </c>
      <c r="D110" s="2" t="s">
        <v>4815</v>
      </c>
      <c r="E110" s="25" t="s">
        <v>333</v>
      </c>
      <c r="F110" s="25">
        <v>20</v>
      </c>
      <c r="G110" s="5">
        <v>1</v>
      </c>
      <c r="H110" s="2" t="s">
        <v>248</v>
      </c>
      <c r="I110" s="2">
        <v>2</v>
      </c>
      <c r="J110" s="2" t="s">
        <v>334</v>
      </c>
      <c r="K110" t="s">
        <v>320</v>
      </c>
    </row>
    <row r="111" spans="1:13" x14ac:dyDescent="0.3">
      <c r="A111" t="s">
        <v>123</v>
      </c>
      <c r="B111" s="2" t="s">
        <v>335</v>
      </c>
      <c r="C111" s="2"/>
      <c r="D111" s="2" t="s">
        <v>327</v>
      </c>
      <c r="E111" s="2" t="s">
        <v>336</v>
      </c>
      <c r="F111" s="2"/>
      <c r="G111" s="2"/>
      <c r="H111" s="2"/>
      <c r="I111" s="2"/>
      <c r="J111" s="2"/>
      <c r="K111" t="s">
        <v>302</v>
      </c>
      <c r="L111" t="s">
        <v>334</v>
      </c>
    </row>
    <row r="112" spans="1:13" x14ac:dyDescent="0.3">
      <c r="A112" t="s">
        <v>60</v>
      </c>
      <c r="B112" s="2" t="s">
        <v>337</v>
      </c>
      <c r="C112" s="2"/>
      <c r="D112" s="2" t="s">
        <v>327</v>
      </c>
      <c r="E112" s="2" t="s">
        <v>338</v>
      </c>
      <c r="F112" s="2"/>
      <c r="G112" s="2"/>
      <c r="H112" s="2"/>
      <c r="I112" s="2"/>
      <c r="J112" s="2"/>
      <c r="K112" t="s">
        <v>302</v>
      </c>
      <c r="L112" t="s">
        <v>339</v>
      </c>
      <c r="M112" t="s">
        <v>340</v>
      </c>
    </row>
    <row r="113" spans="1:12" x14ac:dyDescent="0.3">
      <c r="A113" t="s">
        <v>38</v>
      </c>
      <c r="B113" s="27" t="s">
        <v>109</v>
      </c>
      <c r="C113" s="25" t="s">
        <v>341</v>
      </c>
      <c r="D113" s="15" t="s">
        <v>342</v>
      </c>
      <c r="E113" s="16" t="s">
        <v>113</v>
      </c>
      <c r="F113" s="20">
        <v>108.61</v>
      </c>
      <c r="G113" s="5" t="s">
        <v>4816</v>
      </c>
      <c r="H113" s="20" t="s">
        <v>280</v>
      </c>
      <c r="I113" s="44" t="s">
        <v>313</v>
      </c>
      <c r="J113" s="20" t="s">
        <v>28</v>
      </c>
      <c r="K113" s="54" t="s">
        <v>298</v>
      </c>
      <c r="L113" s="54" t="s">
        <v>343</v>
      </c>
    </row>
    <row r="114" spans="1:12" x14ac:dyDescent="0.3">
      <c r="A114" t="s">
        <v>344</v>
      </c>
      <c r="B114" s="27" t="s">
        <v>345</v>
      </c>
      <c r="C114" s="25" t="s">
        <v>346</v>
      </c>
      <c r="D114" s="15" t="s">
        <v>347</v>
      </c>
      <c r="E114" s="16" t="s">
        <v>205</v>
      </c>
      <c r="F114" s="39">
        <v>54</v>
      </c>
      <c r="G114" s="5" t="s">
        <v>585</v>
      </c>
      <c r="H114" s="61" t="s">
        <v>280</v>
      </c>
      <c r="I114" s="2" t="s">
        <v>313</v>
      </c>
      <c r="J114" s="2" t="s">
        <v>348</v>
      </c>
      <c r="K114" t="s">
        <v>349</v>
      </c>
      <c r="L114" t="s">
        <v>350</v>
      </c>
    </row>
    <row r="115" spans="1:12" x14ac:dyDescent="0.3">
      <c r="A115" t="s">
        <v>60</v>
      </c>
      <c r="B115" s="25" t="s">
        <v>351</v>
      </c>
      <c r="C115" s="4" t="s">
        <v>352</v>
      </c>
      <c r="D115" s="2"/>
      <c r="E115" s="25" t="s">
        <v>353</v>
      </c>
      <c r="F115" s="9" t="s">
        <v>354</v>
      </c>
      <c r="G115" s="2"/>
      <c r="H115" s="20" t="s">
        <v>355</v>
      </c>
      <c r="I115" s="25">
        <v>14</v>
      </c>
      <c r="J115" s="25" t="s">
        <v>28</v>
      </c>
      <c r="K115" t="s">
        <v>356</v>
      </c>
      <c r="L115" t="s">
        <v>357</v>
      </c>
    </row>
    <row r="116" spans="1:12" x14ac:dyDescent="0.3">
      <c r="A116" t="s">
        <v>38</v>
      </c>
      <c r="B116" s="36" t="s">
        <v>149</v>
      </c>
      <c r="C116" s="37" t="s">
        <v>358</v>
      </c>
      <c r="D116" s="6" t="s">
        <v>4817</v>
      </c>
      <c r="E116" s="2" t="s">
        <v>361</v>
      </c>
      <c r="F116" s="65">
        <v>5.5</v>
      </c>
      <c r="G116" s="5" t="s">
        <v>439</v>
      </c>
      <c r="H116" s="4" t="s">
        <v>298</v>
      </c>
      <c r="I116" s="2" t="s">
        <v>362</v>
      </c>
      <c r="J116" s="2" t="s">
        <v>28</v>
      </c>
      <c r="K116" t="s">
        <v>363</v>
      </c>
      <c r="L116" t="s">
        <v>155</v>
      </c>
    </row>
    <row r="117" spans="1:12" ht="15.6" x14ac:dyDescent="0.3">
      <c r="A117" t="s">
        <v>60</v>
      </c>
      <c r="B117" s="22" t="s">
        <v>145</v>
      </c>
      <c r="C117" s="20" t="s">
        <v>364</v>
      </c>
      <c r="D117" s="3" t="s">
        <v>365</v>
      </c>
      <c r="E117" s="7" t="s">
        <v>42</v>
      </c>
      <c r="F117" s="47">
        <v>50.192</v>
      </c>
      <c r="G117" s="34" t="s">
        <v>4818</v>
      </c>
      <c r="H117" s="61" t="s">
        <v>320</v>
      </c>
      <c r="I117" s="2" t="s">
        <v>366</v>
      </c>
      <c r="J117" s="2" t="s">
        <v>367</v>
      </c>
      <c r="K117" t="s">
        <v>368</v>
      </c>
    </row>
    <row r="118" spans="1:12" x14ac:dyDescent="0.3">
      <c r="A118" t="s">
        <v>1438</v>
      </c>
      <c r="B118" s="2" t="s">
        <v>369</v>
      </c>
      <c r="C118" s="2" t="s">
        <v>370</v>
      </c>
      <c r="D118" s="2" t="s">
        <v>4819</v>
      </c>
      <c r="E118" s="7" t="s">
        <v>42</v>
      </c>
      <c r="F118" s="2">
        <v>500</v>
      </c>
      <c r="G118" s="2">
        <v>4</v>
      </c>
      <c r="H118" s="2" t="s">
        <v>371</v>
      </c>
      <c r="I118" s="2"/>
      <c r="J118" s="2" t="s">
        <v>121</v>
      </c>
      <c r="K118" t="s">
        <v>372</v>
      </c>
    </row>
    <row r="119" spans="1:12" x14ac:dyDescent="0.3">
      <c r="A119" t="s">
        <v>123</v>
      </c>
      <c r="B119" s="25" t="s">
        <v>373</v>
      </c>
      <c r="C119" s="2" t="s">
        <v>374</v>
      </c>
      <c r="D119" s="27" t="s">
        <v>375</v>
      </c>
      <c r="E119" s="46" t="s">
        <v>376</v>
      </c>
      <c r="F119" s="25">
        <v>24.75</v>
      </c>
      <c r="G119" s="5" t="s">
        <v>495</v>
      </c>
      <c r="H119" s="2" t="s">
        <v>377</v>
      </c>
      <c r="I119" s="2" t="s">
        <v>378</v>
      </c>
      <c r="J119" s="2" t="s">
        <v>121</v>
      </c>
      <c r="K119" s="18" t="s">
        <v>379</v>
      </c>
      <c r="L119" s="18" t="s">
        <v>323</v>
      </c>
    </row>
    <row r="120" spans="1:12" x14ac:dyDescent="0.3">
      <c r="A120" t="s">
        <v>123</v>
      </c>
      <c r="B120" s="16" t="s">
        <v>230</v>
      </c>
      <c r="C120" s="592" t="s">
        <v>380</v>
      </c>
      <c r="D120" s="592">
        <v>1503</v>
      </c>
      <c r="E120" s="67" t="s">
        <v>381</v>
      </c>
      <c r="F120" s="25">
        <v>20</v>
      </c>
      <c r="G120" s="5">
        <v>1</v>
      </c>
      <c r="H120" s="2" t="s">
        <v>382</v>
      </c>
      <c r="I120" s="2"/>
      <c r="J120" s="2" t="s">
        <v>383</v>
      </c>
      <c r="K120" s="74" t="s">
        <v>379</v>
      </c>
      <c r="L120" s="74" t="s">
        <v>313</v>
      </c>
    </row>
    <row r="121" spans="1:12" x14ac:dyDescent="0.3">
      <c r="B121" s="16"/>
      <c r="C121" s="592"/>
      <c r="D121" s="592"/>
      <c r="E121" s="67" t="s">
        <v>381</v>
      </c>
      <c r="F121" s="25">
        <v>10</v>
      </c>
      <c r="G121" s="5"/>
      <c r="H121" s="2"/>
      <c r="I121" s="2"/>
      <c r="J121" s="2"/>
    </row>
    <row r="122" spans="1:12" x14ac:dyDescent="0.3">
      <c r="A122" t="s">
        <v>123</v>
      </c>
      <c r="B122" s="25" t="s">
        <v>384</v>
      </c>
      <c r="C122" s="71" t="s">
        <v>385</v>
      </c>
      <c r="D122" s="19">
        <v>15805</v>
      </c>
      <c r="E122" s="25" t="s">
        <v>386</v>
      </c>
      <c r="F122" s="25">
        <v>27</v>
      </c>
      <c r="G122" s="5">
        <v>1</v>
      </c>
      <c r="H122" s="2" t="s">
        <v>382</v>
      </c>
      <c r="I122" s="2"/>
      <c r="J122" s="2" t="s">
        <v>28</v>
      </c>
      <c r="K122" s="74" t="s">
        <v>379</v>
      </c>
      <c r="L122" s="74" t="s">
        <v>313</v>
      </c>
    </row>
    <row r="123" spans="1:12" x14ac:dyDescent="0.3">
      <c r="A123" t="s">
        <v>123</v>
      </c>
      <c r="B123" s="25" t="s">
        <v>384</v>
      </c>
      <c r="C123" s="71" t="s">
        <v>387</v>
      </c>
      <c r="E123" s="25" t="s">
        <v>388</v>
      </c>
      <c r="F123" s="25">
        <v>54</v>
      </c>
      <c r="H123" s="18" t="s">
        <v>372</v>
      </c>
      <c r="J123" s="18" t="s">
        <v>28</v>
      </c>
      <c r="K123" s="74" t="s">
        <v>379</v>
      </c>
      <c r="L123" s="74" t="s">
        <v>313</v>
      </c>
    </row>
    <row r="124" spans="1:12" x14ac:dyDescent="0.3">
      <c r="A124" t="s">
        <v>123</v>
      </c>
      <c r="B124" s="16" t="s">
        <v>166</v>
      </c>
      <c r="C124" s="2" t="s">
        <v>389</v>
      </c>
      <c r="E124" s="67" t="s">
        <v>390</v>
      </c>
      <c r="F124" s="25">
        <v>28</v>
      </c>
      <c r="H124" s="18" t="s">
        <v>372</v>
      </c>
      <c r="J124" s="18" t="s">
        <v>28</v>
      </c>
      <c r="K124" s="74" t="s">
        <v>379</v>
      </c>
      <c r="L124" s="74" t="s">
        <v>313</v>
      </c>
    </row>
    <row r="125" spans="1:12" x14ac:dyDescent="0.3">
      <c r="A125" t="s">
        <v>38</v>
      </c>
      <c r="B125" s="36" t="s">
        <v>85</v>
      </c>
      <c r="C125" s="25" t="s">
        <v>391</v>
      </c>
      <c r="D125" s="3" t="s">
        <v>392</v>
      </c>
      <c r="E125" s="20" t="s">
        <v>87</v>
      </c>
      <c r="F125" s="20">
        <v>491.74200000000002</v>
      </c>
      <c r="G125" s="5" t="s">
        <v>4808</v>
      </c>
      <c r="H125" s="25" t="s">
        <v>349</v>
      </c>
      <c r="I125" s="2" t="s">
        <v>378</v>
      </c>
      <c r="J125" s="20" t="s">
        <v>393</v>
      </c>
      <c r="K125" t="s">
        <v>394</v>
      </c>
    </row>
    <row r="126" spans="1:12" x14ac:dyDescent="0.3">
      <c r="A126" t="s">
        <v>60</v>
      </c>
      <c r="B126" s="36" t="s">
        <v>240</v>
      </c>
      <c r="C126" s="32" t="s">
        <v>395</v>
      </c>
      <c r="D126" s="3" t="s">
        <v>396</v>
      </c>
      <c r="E126" s="20" t="s">
        <v>106</v>
      </c>
      <c r="F126" s="9">
        <v>237.36</v>
      </c>
      <c r="G126" s="34" t="s">
        <v>4820</v>
      </c>
      <c r="H126" s="61" t="s">
        <v>397</v>
      </c>
      <c r="I126" s="2" t="s">
        <v>398</v>
      </c>
      <c r="J126" s="2" t="s">
        <v>28</v>
      </c>
      <c r="K126" t="s">
        <v>191</v>
      </c>
      <c r="L126" t="s">
        <v>362</v>
      </c>
    </row>
    <row r="127" spans="1:12" ht="15.6" x14ac:dyDescent="0.3">
      <c r="A127" t="s">
        <v>60</v>
      </c>
      <c r="B127" s="22" t="s">
        <v>145</v>
      </c>
      <c r="C127" s="20" t="s">
        <v>364</v>
      </c>
      <c r="D127" s="3" t="s">
        <v>399</v>
      </c>
      <c r="E127" s="7" t="s">
        <v>42</v>
      </c>
      <c r="F127" s="47">
        <v>450.53500000000003</v>
      </c>
      <c r="G127" s="34" t="s">
        <v>4790</v>
      </c>
      <c r="H127" s="61" t="s">
        <v>377</v>
      </c>
      <c r="I127" s="2" t="s">
        <v>378</v>
      </c>
      <c r="J127" s="2" t="s">
        <v>28</v>
      </c>
      <c r="K127" t="s">
        <v>400</v>
      </c>
    </row>
    <row r="128" spans="1:12" ht="15.6" x14ac:dyDescent="0.3">
      <c r="A128" t="s">
        <v>60</v>
      </c>
      <c r="B128" s="22" t="s">
        <v>39</v>
      </c>
      <c r="C128" s="20" t="s">
        <v>260</v>
      </c>
      <c r="D128" s="6">
        <v>215785514</v>
      </c>
      <c r="E128" s="7" t="s">
        <v>42</v>
      </c>
      <c r="F128" s="57">
        <v>25.465</v>
      </c>
      <c r="G128" s="5" t="s">
        <v>721</v>
      </c>
      <c r="H128" s="61" t="s">
        <v>397</v>
      </c>
      <c r="I128" s="2" t="s">
        <v>398</v>
      </c>
      <c r="J128" s="2" t="s">
        <v>121</v>
      </c>
      <c r="K128" t="s">
        <v>401</v>
      </c>
    </row>
    <row r="129" spans="1:16" x14ac:dyDescent="0.3">
      <c r="A129" t="s">
        <v>38</v>
      </c>
      <c r="B129" s="36" t="s">
        <v>85</v>
      </c>
      <c r="C129" s="25" t="s">
        <v>391</v>
      </c>
      <c r="D129" s="15" t="s">
        <v>402</v>
      </c>
      <c r="E129" s="20" t="s">
        <v>87</v>
      </c>
      <c r="F129" s="20">
        <v>512.52300000000002</v>
      </c>
      <c r="G129" s="5" t="s">
        <v>4793</v>
      </c>
      <c r="H129" s="25" t="s">
        <v>403</v>
      </c>
      <c r="I129" s="2" t="s">
        <v>404</v>
      </c>
      <c r="J129" s="20" t="s">
        <v>405</v>
      </c>
      <c r="K129" t="s">
        <v>362</v>
      </c>
    </row>
    <row r="130" spans="1:16" ht="15.6" x14ac:dyDescent="0.3">
      <c r="A130" t="s">
        <v>38</v>
      </c>
      <c r="B130" s="22" t="s">
        <v>39</v>
      </c>
      <c r="C130" s="6" t="s">
        <v>406</v>
      </c>
      <c r="D130" s="40">
        <v>215158602</v>
      </c>
      <c r="E130" s="7" t="s">
        <v>42</v>
      </c>
      <c r="F130" s="56">
        <v>470.42</v>
      </c>
      <c r="G130" s="5" t="s">
        <v>4790</v>
      </c>
      <c r="H130" s="25" t="s">
        <v>349</v>
      </c>
      <c r="I130" s="2" t="s">
        <v>378</v>
      </c>
      <c r="J130" s="20" t="s">
        <v>407</v>
      </c>
      <c r="K130" t="s">
        <v>408</v>
      </c>
    </row>
    <row r="131" spans="1:16" x14ac:dyDescent="0.3">
      <c r="A131" t="s">
        <v>38</v>
      </c>
      <c r="B131" s="27" t="s">
        <v>85</v>
      </c>
      <c r="C131" s="25" t="s">
        <v>409</v>
      </c>
      <c r="D131" s="3" t="s">
        <v>410</v>
      </c>
      <c r="E131" s="25" t="s">
        <v>87</v>
      </c>
      <c r="F131" s="20">
        <v>503.95100000000002</v>
      </c>
      <c r="G131" s="5" t="s">
        <v>4821</v>
      </c>
      <c r="H131" s="25" t="s">
        <v>377</v>
      </c>
      <c r="I131" s="2" t="s">
        <v>411</v>
      </c>
      <c r="J131" s="20" t="s">
        <v>405</v>
      </c>
    </row>
    <row r="132" spans="1:16" x14ac:dyDescent="0.3">
      <c r="A132" t="s">
        <v>412</v>
      </c>
      <c r="B132" s="27" t="s">
        <v>413</v>
      </c>
      <c r="C132" s="2" t="s">
        <v>414</v>
      </c>
      <c r="D132" s="25" t="s">
        <v>4822</v>
      </c>
      <c r="E132" s="20" t="s">
        <v>416</v>
      </c>
      <c r="F132" s="20">
        <v>1</v>
      </c>
      <c r="G132" s="5" t="s">
        <v>4823</v>
      </c>
      <c r="H132" s="2" t="s">
        <v>382</v>
      </c>
      <c r="I132" s="2" t="s">
        <v>417</v>
      </c>
      <c r="J132" s="20" t="s">
        <v>28</v>
      </c>
      <c r="K132" t="s">
        <v>418</v>
      </c>
    </row>
    <row r="133" spans="1:16" x14ac:dyDescent="0.3">
      <c r="A133" t="s">
        <v>123</v>
      </c>
      <c r="B133" s="25" t="s">
        <v>419</v>
      </c>
      <c r="C133" s="25" t="s">
        <v>420</v>
      </c>
      <c r="D133" s="25" t="s">
        <v>4824</v>
      </c>
      <c r="E133" s="16" t="s">
        <v>422</v>
      </c>
      <c r="F133" s="65">
        <v>1</v>
      </c>
      <c r="G133" s="2">
        <v>1</v>
      </c>
      <c r="H133" s="2" t="s">
        <v>382</v>
      </c>
      <c r="I133" s="2"/>
      <c r="J133" s="2" t="s">
        <v>121</v>
      </c>
    </row>
    <row r="134" spans="1:16" x14ac:dyDescent="0.3">
      <c r="A134" t="s">
        <v>38</v>
      </c>
      <c r="B134" s="36" t="s">
        <v>85</v>
      </c>
      <c r="C134" s="25" t="s">
        <v>423</v>
      </c>
      <c r="D134" s="15" t="s">
        <v>424</v>
      </c>
      <c r="E134" s="20" t="s">
        <v>87</v>
      </c>
      <c r="F134" s="20">
        <v>522.16700000000003</v>
      </c>
      <c r="G134" s="5" t="s">
        <v>4793</v>
      </c>
      <c r="H134" s="20" t="s">
        <v>425</v>
      </c>
      <c r="I134" s="2" t="s">
        <v>417</v>
      </c>
      <c r="J134" s="20" t="s">
        <v>28</v>
      </c>
      <c r="K134" s="54" t="s">
        <v>426</v>
      </c>
      <c r="L134" s="54"/>
    </row>
    <row r="135" spans="1:16" x14ac:dyDescent="0.3">
      <c r="A135" t="s">
        <v>38</v>
      </c>
      <c r="B135" s="36" t="s">
        <v>85</v>
      </c>
      <c r="C135" s="20" t="s">
        <v>213</v>
      </c>
      <c r="D135" s="3" t="s">
        <v>427</v>
      </c>
      <c r="E135" s="20" t="s">
        <v>87</v>
      </c>
      <c r="F135" s="20">
        <v>25.446999999999999</v>
      </c>
      <c r="G135" s="5" t="s">
        <v>495</v>
      </c>
      <c r="H135" s="25" t="s">
        <v>377</v>
      </c>
      <c r="I135" s="2" t="s">
        <v>411</v>
      </c>
      <c r="J135" s="20" t="s">
        <v>405</v>
      </c>
      <c r="K135" t="s">
        <v>428</v>
      </c>
    </row>
    <row r="136" spans="1:16" x14ac:dyDescent="0.3">
      <c r="A136" t="s">
        <v>38</v>
      </c>
      <c r="B136" s="36" t="s">
        <v>85</v>
      </c>
      <c r="C136" s="25" t="s">
        <v>423</v>
      </c>
      <c r="D136" s="15" t="s">
        <v>429</v>
      </c>
      <c r="E136" s="20" t="s">
        <v>87</v>
      </c>
      <c r="F136" s="20">
        <v>522.54200000000003</v>
      </c>
      <c r="G136" s="5" t="s">
        <v>4793</v>
      </c>
      <c r="H136" s="2" t="s">
        <v>313</v>
      </c>
      <c r="I136" s="2" t="s">
        <v>430</v>
      </c>
      <c r="J136" s="20" t="s">
        <v>28</v>
      </c>
      <c r="K136" t="s">
        <v>431</v>
      </c>
    </row>
    <row r="137" spans="1:16" x14ac:dyDescent="0.3">
      <c r="A137" t="s">
        <v>38</v>
      </c>
      <c r="B137" s="27" t="s">
        <v>109</v>
      </c>
      <c r="C137" s="25" t="s">
        <v>432</v>
      </c>
      <c r="D137" s="4">
        <v>215646992</v>
      </c>
      <c r="E137" s="20" t="s">
        <v>87</v>
      </c>
      <c r="F137" s="20">
        <v>725.11</v>
      </c>
      <c r="G137" s="5" t="s">
        <v>4825</v>
      </c>
      <c r="H137" s="2" t="s">
        <v>366</v>
      </c>
      <c r="I137" s="2" t="s">
        <v>430</v>
      </c>
      <c r="J137" s="91" t="s">
        <v>433</v>
      </c>
      <c r="K137" t="s">
        <v>434</v>
      </c>
      <c r="L137" t="s">
        <v>435</v>
      </c>
    </row>
    <row r="138" spans="1:16" x14ac:dyDescent="0.3">
      <c r="A138" t="s">
        <v>38</v>
      </c>
      <c r="B138" s="27" t="s">
        <v>436</v>
      </c>
      <c r="C138" s="6" t="s">
        <v>437</v>
      </c>
      <c r="D138" s="84" t="s">
        <v>4826</v>
      </c>
      <c r="E138" s="4">
        <v>215346498</v>
      </c>
      <c r="F138" s="84" t="s">
        <v>4827</v>
      </c>
      <c r="G138" s="16" t="s">
        <v>438</v>
      </c>
      <c r="H138" s="25">
        <v>17.5</v>
      </c>
      <c r="I138" s="34" t="s">
        <v>439</v>
      </c>
      <c r="J138" s="87" t="s">
        <v>440</v>
      </c>
      <c r="K138" s="25" t="s">
        <v>441</v>
      </c>
      <c r="L138" s="25" t="s">
        <v>442</v>
      </c>
      <c r="M138" s="20" t="s">
        <v>28</v>
      </c>
      <c r="N138" s="84" t="s">
        <v>443</v>
      </c>
      <c r="O138" t="s">
        <v>444</v>
      </c>
    </row>
    <row r="139" spans="1:16" x14ac:dyDescent="0.3">
      <c r="A139" t="s">
        <v>123</v>
      </c>
      <c r="B139" s="27" t="s">
        <v>373</v>
      </c>
      <c r="C139" s="2" t="s">
        <v>445</v>
      </c>
      <c r="D139" s="2" t="s">
        <v>446</v>
      </c>
      <c r="E139" s="25" t="s">
        <v>447</v>
      </c>
      <c r="F139" s="25">
        <v>51</v>
      </c>
      <c r="G139" s="34" t="s">
        <v>4828</v>
      </c>
      <c r="H139" s="25" t="s">
        <v>448</v>
      </c>
      <c r="I139" s="2" t="s">
        <v>449</v>
      </c>
      <c r="J139" s="2" t="s">
        <v>450</v>
      </c>
      <c r="K139" t="s">
        <v>451</v>
      </c>
      <c r="L139" t="s">
        <v>366</v>
      </c>
      <c r="M139" t="s">
        <v>452</v>
      </c>
    </row>
    <row r="140" spans="1:16" x14ac:dyDescent="0.3">
      <c r="A140" t="s">
        <v>38</v>
      </c>
      <c r="B140" s="27" t="s">
        <v>130</v>
      </c>
      <c r="C140" s="15" t="s">
        <v>453</v>
      </c>
      <c r="D140" s="86" t="s">
        <v>4829</v>
      </c>
      <c r="E140" s="4">
        <v>215017816</v>
      </c>
      <c r="F140" s="84" t="s">
        <v>4830</v>
      </c>
      <c r="G140" s="20" t="s">
        <v>87</v>
      </c>
      <c r="H140" s="52">
        <v>701.07</v>
      </c>
      <c r="I140" s="34" t="s">
        <v>454</v>
      </c>
      <c r="J140" s="87" t="s">
        <v>455</v>
      </c>
      <c r="K140" s="25" t="s">
        <v>404</v>
      </c>
      <c r="L140" s="25" t="s">
        <v>456</v>
      </c>
      <c r="M140" s="25" t="s">
        <v>457</v>
      </c>
      <c r="N140" s="84" t="s">
        <v>458</v>
      </c>
      <c r="O140" s="81" t="s">
        <v>459</v>
      </c>
    </row>
    <row r="141" spans="1:16" x14ac:dyDescent="0.3">
      <c r="A141" t="s">
        <v>60</v>
      </c>
      <c r="B141" s="2" t="s">
        <v>460</v>
      </c>
      <c r="C141" s="2"/>
      <c r="D141" s="2" t="s">
        <v>461</v>
      </c>
      <c r="E141" s="2" t="s">
        <v>462</v>
      </c>
      <c r="F141" s="2">
        <v>16</v>
      </c>
      <c r="G141" s="5">
        <v>1</v>
      </c>
      <c r="H141" s="20" t="s">
        <v>441</v>
      </c>
      <c r="I141" s="2"/>
      <c r="J141" s="25" t="s">
        <v>463</v>
      </c>
      <c r="K141" s="90" t="s">
        <v>464</v>
      </c>
    </row>
    <row r="142" spans="1:16" x14ac:dyDescent="0.3">
      <c r="A142" t="s">
        <v>60</v>
      </c>
      <c r="B142" s="27" t="s">
        <v>351</v>
      </c>
      <c r="C142" s="4" t="s">
        <v>465</v>
      </c>
      <c r="D142" s="2" t="s">
        <v>466</v>
      </c>
      <c r="E142" s="25" t="s">
        <v>467</v>
      </c>
      <c r="F142" s="9" t="s">
        <v>468</v>
      </c>
      <c r="G142" s="5" t="s">
        <v>439</v>
      </c>
      <c r="H142" s="20" t="s">
        <v>469</v>
      </c>
      <c r="I142" s="25">
        <v>14</v>
      </c>
      <c r="J142" s="25" t="s">
        <v>28</v>
      </c>
      <c r="K142" s="90" t="s">
        <v>464</v>
      </c>
    </row>
    <row r="143" spans="1:16" x14ac:dyDescent="0.3">
      <c r="A143" t="s">
        <v>38</v>
      </c>
      <c r="B143" s="36" t="s">
        <v>130</v>
      </c>
      <c r="C143" s="3" t="s">
        <v>470</v>
      </c>
      <c r="D143" s="83" t="s">
        <v>4827</v>
      </c>
      <c r="E143" s="25" t="s">
        <v>471</v>
      </c>
      <c r="F143" s="84" t="s">
        <v>4831</v>
      </c>
      <c r="G143" s="20" t="s">
        <v>87</v>
      </c>
      <c r="H143" s="20">
        <v>626.44100000000003</v>
      </c>
      <c r="I143" s="34" t="s">
        <v>473</v>
      </c>
      <c r="J143" s="87" t="s">
        <v>474</v>
      </c>
      <c r="K143" s="25" t="s">
        <v>404</v>
      </c>
      <c r="L143" s="25" t="s">
        <v>475</v>
      </c>
      <c r="M143" s="20" t="s">
        <v>476</v>
      </c>
      <c r="N143" s="84" t="s">
        <v>477</v>
      </c>
      <c r="O143" t="s">
        <v>464</v>
      </c>
    </row>
    <row r="144" spans="1:16" x14ac:dyDescent="0.3">
      <c r="A144" t="s">
        <v>38</v>
      </c>
      <c r="B144" s="27" t="s">
        <v>478</v>
      </c>
      <c r="C144" s="25" t="s">
        <v>479</v>
      </c>
      <c r="D144" s="85" t="s">
        <v>4832</v>
      </c>
      <c r="E144" s="25" t="s">
        <v>480</v>
      </c>
      <c r="F144" s="84" t="s">
        <v>4833</v>
      </c>
      <c r="G144" s="16" t="s">
        <v>205</v>
      </c>
      <c r="H144" s="65">
        <v>77.22</v>
      </c>
      <c r="I144" s="34" t="s">
        <v>481</v>
      </c>
      <c r="J144" s="84" t="s">
        <v>482</v>
      </c>
      <c r="K144" s="25" t="s">
        <v>417</v>
      </c>
      <c r="L144" s="25" t="s">
        <v>475</v>
      </c>
      <c r="M144" s="25" t="s">
        <v>483</v>
      </c>
      <c r="N144" s="84" t="s">
        <v>484</v>
      </c>
      <c r="O144" s="81" t="s">
        <v>464</v>
      </c>
      <c r="P144" s="18"/>
    </row>
    <row r="145" spans="1:18" x14ac:dyDescent="0.3">
      <c r="A145" t="s">
        <v>38</v>
      </c>
      <c r="B145" s="25" t="s">
        <v>485</v>
      </c>
      <c r="C145" s="25" t="s">
        <v>486</v>
      </c>
      <c r="D145" s="2"/>
      <c r="E145" s="25" t="s">
        <v>487</v>
      </c>
      <c r="F145" s="2"/>
      <c r="G145" s="20" t="s">
        <v>488</v>
      </c>
      <c r="H145" s="20">
        <v>30</v>
      </c>
      <c r="I145" s="5">
        <v>1</v>
      </c>
      <c r="J145" s="2"/>
      <c r="K145" s="89" t="s">
        <v>448</v>
      </c>
      <c r="L145" s="2"/>
      <c r="M145" s="2" t="s">
        <v>457</v>
      </c>
      <c r="N145" s="2"/>
      <c r="O145" t="s">
        <v>489</v>
      </c>
    </row>
    <row r="146" spans="1:18" x14ac:dyDescent="0.3">
      <c r="A146" t="s">
        <v>38</v>
      </c>
      <c r="B146" s="36" t="s">
        <v>490</v>
      </c>
      <c r="C146" s="6" t="s">
        <v>491</v>
      </c>
      <c r="D146" s="6"/>
      <c r="E146" s="25" t="s">
        <v>492</v>
      </c>
      <c r="F146" s="84" t="s">
        <v>4834</v>
      </c>
      <c r="G146" s="7" t="s">
        <v>494</v>
      </c>
      <c r="H146" s="10">
        <v>27</v>
      </c>
      <c r="I146" s="34" t="s">
        <v>495</v>
      </c>
      <c r="J146" s="87" t="s">
        <v>496</v>
      </c>
      <c r="K146" s="25" t="s">
        <v>398</v>
      </c>
      <c r="L146" s="25" t="s">
        <v>497</v>
      </c>
      <c r="M146" s="25" t="s">
        <v>121</v>
      </c>
      <c r="N146" s="84" t="s">
        <v>477</v>
      </c>
      <c r="O146" s="76" t="s">
        <v>489</v>
      </c>
    </row>
    <row r="147" spans="1:18" x14ac:dyDescent="0.3">
      <c r="A147" t="s">
        <v>38</v>
      </c>
      <c r="B147" s="36" t="s">
        <v>490</v>
      </c>
      <c r="C147" s="6" t="s">
        <v>498</v>
      </c>
      <c r="D147" s="6"/>
      <c r="E147" s="25" t="s">
        <v>499</v>
      </c>
      <c r="F147" s="84" t="s">
        <v>4835</v>
      </c>
      <c r="G147" s="7" t="s">
        <v>494</v>
      </c>
      <c r="H147" s="10">
        <v>27</v>
      </c>
      <c r="I147" s="34" t="s">
        <v>495</v>
      </c>
      <c r="J147" s="87" t="s">
        <v>496</v>
      </c>
      <c r="K147" s="25" t="s">
        <v>398</v>
      </c>
      <c r="L147" s="25" t="s">
        <v>497</v>
      </c>
      <c r="M147" s="25" t="s">
        <v>28</v>
      </c>
      <c r="N147" s="84" t="s">
        <v>500</v>
      </c>
      <c r="O147" s="76" t="s">
        <v>489</v>
      </c>
    </row>
    <row r="148" spans="1:18" x14ac:dyDescent="0.3">
      <c r="A148" t="s">
        <v>38</v>
      </c>
      <c r="B148" s="27" t="s">
        <v>157</v>
      </c>
      <c r="C148" s="25" t="s">
        <v>501</v>
      </c>
      <c r="D148" s="85" t="s">
        <v>4836</v>
      </c>
      <c r="E148" s="25" t="s">
        <v>502</v>
      </c>
      <c r="F148" s="84" t="s">
        <v>4837</v>
      </c>
      <c r="G148" s="16" t="s">
        <v>113</v>
      </c>
      <c r="H148" s="20">
        <v>265.17</v>
      </c>
      <c r="I148" s="34" t="s">
        <v>504</v>
      </c>
      <c r="J148" s="87" t="s">
        <v>505</v>
      </c>
      <c r="K148" s="25" t="s">
        <v>417</v>
      </c>
      <c r="L148" s="25" t="s">
        <v>506</v>
      </c>
      <c r="M148" s="20" t="s">
        <v>507</v>
      </c>
      <c r="N148" s="84" t="s">
        <v>508</v>
      </c>
      <c r="O148" t="s">
        <v>509</v>
      </c>
    </row>
    <row r="149" spans="1:18" x14ac:dyDescent="0.3">
      <c r="A149" t="s">
        <v>60</v>
      </c>
      <c r="B149" s="36" t="s">
        <v>510</v>
      </c>
      <c r="C149" s="6" t="s">
        <v>511</v>
      </c>
      <c r="D149" s="2" t="s">
        <v>512</v>
      </c>
      <c r="E149" s="2" t="s">
        <v>513</v>
      </c>
      <c r="F149" s="25">
        <v>250</v>
      </c>
      <c r="G149" s="5" t="s">
        <v>4838</v>
      </c>
      <c r="H149" s="20" t="s">
        <v>514</v>
      </c>
      <c r="I149" s="25" t="s">
        <v>515</v>
      </c>
      <c r="J149" s="25" t="s">
        <v>516</v>
      </c>
      <c r="K149" s="25" t="s">
        <v>517</v>
      </c>
      <c r="L149" s="25" t="s">
        <v>518</v>
      </c>
      <c r="M149" s="25" t="s">
        <v>519</v>
      </c>
    </row>
    <row r="150" spans="1:18" x14ac:dyDescent="0.3">
      <c r="B150" s="2" t="s">
        <v>369</v>
      </c>
      <c r="C150" s="2" t="s">
        <v>520</v>
      </c>
      <c r="D150" s="2" t="s">
        <v>4839</v>
      </c>
      <c r="E150" s="2" t="s">
        <v>42</v>
      </c>
      <c r="F150" s="2">
        <v>500</v>
      </c>
      <c r="G150" s="2">
        <v>4</v>
      </c>
      <c r="H150" s="2" t="s">
        <v>521</v>
      </c>
      <c r="I150" s="2"/>
      <c r="J150" s="2" t="s">
        <v>121</v>
      </c>
    </row>
    <row r="151" spans="1:18" x14ac:dyDescent="0.3">
      <c r="A151" t="s">
        <v>38</v>
      </c>
      <c r="B151" s="27" t="s">
        <v>157</v>
      </c>
      <c r="C151" s="25" t="s">
        <v>522</v>
      </c>
      <c r="D151" s="85" t="s">
        <v>4836</v>
      </c>
      <c r="E151" s="25" t="s">
        <v>523</v>
      </c>
      <c r="F151" s="84" t="s">
        <v>4837</v>
      </c>
      <c r="G151" s="16" t="s">
        <v>113</v>
      </c>
      <c r="H151" s="20">
        <v>486.62</v>
      </c>
      <c r="I151" s="34" t="s">
        <v>524</v>
      </c>
      <c r="J151" s="87" t="s">
        <v>525</v>
      </c>
      <c r="K151" s="94">
        <v>44655</v>
      </c>
      <c r="L151" s="25" t="s">
        <v>526</v>
      </c>
      <c r="M151" s="20" t="s">
        <v>507</v>
      </c>
      <c r="N151" s="84" t="s">
        <v>508</v>
      </c>
      <c r="O151" t="s">
        <v>527</v>
      </c>
      <c r="R151" t="s">
        <v>528</v>
      </c>
    </row>
    <row r="152" spans="1:18" ht="15.6" x14ac:dyDescent="0.3">
      <c r="A152" t="s">
        <v>529</v>
      </c>
      <c r="B152" s="75" t="s">
        <v>39</v>
      </c>
      <c r="C152" s="69" t="s">
        <v>530</v>
      </c>
      <c r="D152" s="69"/>
      <c r="E152" s="19">
        <v>215503184</v>
      </c>
      <c r="F152" s="19"/>
      <c r="G152" s="7" t="s">
        <v>42</v>
      </c>
      <c r="H152" s="30">
        <v>259.62</v>
      </c>
      <c r="I152" s="30"/>
      <c r="J152" s="34" t="s">
        <v>531</v>
      </c>
      <c r="K152" s="20" t="s">
        <v>456</v>
      </c>
      <c r="L152" s="25" t="s">
        <v>449</v>
      </c>
      <c r="M152" s="25" t="s">
        <v>532</v>
      </c>
      <c r="N152" s="2" t="s">
        <v>533</v>
      </c>
      <c r="O152" t="s">
        <v>534</v>
      </c>
    </row>
    <row r="153" spans="1:18" x14ac:dyDescent="0.3">
      <c r="A153" t="s">
        <v>123</v>
      </c>
      <c r="B153" s="25" t="s">
        <v>535</v>
      </c>
      <c r="C153" s="19" t="s">
        <v>536</v>
      </c>
      <c r="D153" s="19"/>
      <c r="E153" s="2" t="s">
        <v>4840</v>
      </c>
      <c r="F153" s="2"/>
      <c r="G153" s="25" t="s">
        <v>333</v>
      </c>
      <c r="H153" s="25">
        <v>20</v>
      </c>
      <c r="I153" s="25"/>
      <c r="J153" s="5">
        <v>1</v>
      </c>
      <c r="K153" s="2" t="s">
        <v>538</v>
      </c>
      <c r="L153" s="2">
        <v>2</v>
      </c>
      <c r="M153" s="2" t="s">
        <v>463</v>
      </c>
      <c r="N153" s="2"/>
    </row>
    <row r="154" spans="1:18" x14ac:dyDescent="0.3">
      <c r="A154" t="s">
        <v>123</v>
      </c>
      <c r="B154" s="25" t="s">
        <v>76</v>
      </c>
      <c r="C154" s="25" t="s">
        <v>539</v>
      </c>
      <c r="D154" s="25"/>
      <c r="E154" s="2" t="s">
        <v>540</v>
      </c>
      <c r="F154" s="2"/>
      <c r="G154" s="25" t="s">
        <v>78</v>
      </c>
      <c r="H154" s="20">
        <v>50</v>
      </c>
      <c r="I154" s="20"/>
      <c r="J154" s="5">
        <v>2</v>
      </c>
      <c r="K154" s="2" t="s">
        <v>538</v>
      </c>
      <c r="L154" s="2" t="s">
        <v>475</v>
      </c>
      <c r="M154" s="2" t="s">
        <v>463</v>
      </c>
    </row>
    <row r="155" spans="1:18" x14ac:dyDescent="0.3">
      <c r="A155" t="s">
        <v>38</v>
      </c>
      <c r="B155" s="27" t="s">
        <v>541</v>
      </c>
      <c r="C155" s="15" t="s">
        <v>542</v>
      </c>
      <c r="D155" s="86" t="s">
        <v>4841</v>
      </c>
      <c r="E155" s="15" t="s">
        <v>543</v>
      </c>
      <c r="F155" s="84" t="s">
        <v>443</v>
      </c>
      <c r="G155" s="20" t="s">
        <v>87</v>
      </c>
      <c r="H155" s="20">
        <v>961.00800000000004</v>
      </c>
      <c r="I155" s="34" t="s">
        <v>544</v>
      </c>
      <c r="J155" s="87" t="s">
        <v>545</v>
      </c>
      <c r="K155" s="94">
        <v>44685</v>
      </c>
      <c r="L155" s="25" t="s">
        <v>546</v>
      </c>
      <c r="M155" s="25" t="s">
        <v>547</v>
      </c>
      <c r="N155" s="84" t="s">
        <v>500</v>
      </c>
      <c r="O155" t="s">
        <v>548</v>
      </c>
      <c r="Q155" t="s">
        <v>549</v>
      </c>
    </row>
    <row r="156" spans="1:18" x14ac:dyDescent="0.3">
      <c r="A156" t="s">
        <v>529</v>
      </c>
      <c r="B156" s="36" t="s">
        <v>240</v>
      </c>
      <c r="C156" s="6" t="s">
        <v>550</v>
      </c>
      <c r="D156" s="96">
        <v>44713</v>
      </c>
      <c r="E156" s="20" t="s">
        <v>551</v>
      </c>
      <c r="F156" s="20" t="s">
        <v>4842</v>
      </c>
      <c r="G156" s="20" t="s">
        <v>106</v>
      </c>
      <c r="H156" s="8">
        <v>118.75</v>
      </c>
      <c r="I156" s="8" t="s">
        <v>553</v>
      </c>
      <c r="J156" s="5" t="s">
        <v>554</v>
      </c>
      <c r="K156" s="20" t="s">
        <v>555</v>
      </c>
      <c r="L156" s="25" t="s">
        <v>556</v>
      </c>
      <c r="M156" s="25" t="s">
        <v>28</v>
      </c>
      <c r="N156" s="2" t="s">
        <v>475</v>
      </c>
      <c r="O156" t="s">
        <v>557</v>
      </c>
    </row>
    <row r="157" spans="1:18" x14ac:dyDescent="0.3">
      <c r="A157" t="s">
        <v>38</v>
      </c>
      <c r="B157" s="27" t="s">
        <v>541</v>
      </c>
      <c r="C157" s="15" t="s">
        <v>558</v>
      </c>
      <c r="D157" s="86" t="s">
        <v>4843</v>
      </c>
      <c r="E157" s="15" t="s">
        <v>559</v>
      </c>
      <c r="F157" s="84" t="s">
        <v>4844</v>
      </c>
      <c r="G157" s="20" t="s">
        <v>87</v>
      </c>
      <c r="H157" s="20">
        <v>223.09299999999999</v>
      </c>
      <c r="I157" s="34" t="s">
        <v>504</v>
      </c>
      <c r="J157" s="84" t="s">
        <v>553</v>
      </c>
      <c r="K157" s="94">
        <v>44808</v>
      </c>
      <c r="L157" s="25" t="s">
        <v>560</v>
      </c>
      <c r="M157" s="25" t="s">
        <v>507</v>
      </c>
      <c r="N157" s="84" t="s">
        <v>561</v>
      </c>
      <c r="O157" s="76" t="s">
        <v>562</v>
      </c>
    </row>
    <row r="158" spans="1:18" x14ac:dyDescent="0.3">
      <c r="A158" t="s">
        <v>3916</v>
      </c>
      <c r="B158" s="27" t="s">
        <v>39</v>
      </c>
      <c r="C158" s="2" t="s">
        <v>563</v>
      </c>
      <c r="D158" s="2"/>
      <c r="E158" s="2">
        <v>216578843</v>
      </c>
      <c r="F158" s="2"/>
      <c r="G158" s="7" t="s">
        <v>42</v>
      </c>
      <c r="H158" s="56">
        <v>77.8</v>
      </c>
      <c r="I158" s="56"/>
      <c r="J158" s="2" t="s">
        <v>564</v>
      </c>
      <c r="K158" s="2" t="s">
        <v>456</v>
      </c>
      <c r="L158" s="2" t="s">
        <v>565</v>
      </c>
      <c r="M158" s="2" t="s">
        <v>28</v>
      </c>
      <c r="N158" s="2"/>
      <c r="O158" s="18" t="s">
        <v>4845</v>
      </c>
    </row>
    <row r="159" spans="1:18" ht="16.2" thickBot="1" x14ac:dyDescent="0.35">
      <c r="A159" t="s">
        <v>123</v>
      </c>
      <c r="B159" s="27" t="s">
        <v>166</v>
      </c>
      <c r="C159" s="88" t="s">
        <v>567</v>
      </c>
      <c r="D159" s="108">
        <v>44624</v>
      </c>
      <c r="E159" s="92" t="s">
        <v>568</v>
      </c>
      <c r="F159" s="109">
        <v>44808</v>
      </c>
      <c r="G159" s="78" t="s">
        <v>569</v>
      </c>
      <c r="H159" s="25">
        <v>28</v>
      </c>
      <c r="I159" s="25"/>
      <c r="J159" s="5">
        <v>1</v>
      </c>
      <c r="K159" s="2" t="s">
        <v>497</v>
      </c>
      <c r="L159" s="2"/>
      <c r="M159" s="2" t="s">
        <v>28</v>
      </c>
    </row>
    <row r="160" spans="1:18" x14ac:dyDescent="0.3">
      <c r="A160" t="s">
        <v>60</v>
      </c>
      <c r="B160" s="2" t="s">
        <v>485</v>
      </c>
      <c r="C160" s="2" t="s">
        <v>570</v>
      </c>
      <c r="D160" s="112">
        <v>44595</v>
      </c>
      <c r="E160" s="2">
        <v>201868472</v>
      </c>
      <c r="F160" s="2" t="s">
        <v>696</v>
      </c>
      <c r="G160" s="2" t="s">
        <v>205</v>
      </c>
      <c r="H160" s="2">
        <v>30</v>
      </c>
      <c r="I160" s="2">
        <v>1</v>
      </c>
      <c r="J160" s="61" t="s">
        <v>571</v>
      </c>
      <c r="K160" s="2"/>
      <c r="L160" s="25" t="s">
        <v>121</v>
      </c>
      <c r="M160" s="76" t="s">
        <v>572</v>
      </c>
    </row>
    <row r="161" spans="1:17" x14ac:dyDescent="0.3">
      <c r="A161" t="s">
        <v>60</v>
      </c>
      <c r="B161" s="36" t="s">
        <v>573</v>
      </c>
      <c r="C161" s="2" t="s">
        <v>574</v>
      </c>
      <c r="D161" s="2"/>
      <c r="E161" s="6" t="s">
        <v>575</v>
      </c>
      <c r="F161" s="6"/>
      <c r="G161" s="2" t="s">
        <v>576</v>
      </c>
      <c r="H161" s="2">
        <v>13</v>
      </c>
      <c r="I161" s="34" t="s">
        <v>577</v>
      </c>
      <c r="J161" s="61" t="s">
        <v>497</v>
      </c>
      <c r="K161" s="2" t="s">
        <v>578</v>
      </c>
      <c r="L161" s="2" t="s">
        <v>579</v>
      </c>
      <c r="M161" s="76" t="s">
        <v>580</v>
      </c>
    </row>
    <row r="162" spans="1:17" x14ac:dyDescent="0.3">
      <c r="A162" t="s">
        <v>60</v>
      </c>
      <c r="B162" s="27" t="s">
        <v>581</v>
      </c>
      <c r="C162" s="4" t="s">
        <v>582</v>
      </c>
      <c r="D162" s="4"/>
      <c r="E162" s="6" t="s">
        <v>4846</v>
      </c>
      <c r="F162" s="6"/>
      <c r="G162" s="16" t="s">
        <v>205</v>
      </c>
      <c r="H162" s="65">
        <v>50</v>
      </c>
      <c r="I162" s="5" t="s">
        <v>585</v>
      </c>
      <c r="J162" s="61" t="s">
        <v>506</v>
      </c>
      <c r="K162" s="25" t="s">
        <v>586</v>
      </c>
      <c r="L162" s="25" t="s">
        <v>516</v>
      </c>
      <c r="M162" s="2" t="s">
        <v>350</v>
      </c>
      <c r="N162" t="s">
        <v>587</v>
      </c>
    </row>
    <row r="163" spans="1:17" x14ac:dyDescent="0.3">
      <c r="A163" t="s">
        <v>38</v>
      </c>
      <c r="B163" s="27" t="s">
        <v>541</v>
      </c>
      <c r="C163" s="15" t="s">
        <v>588</v>
      </c>
      <c r="D163" s="86" t="s">
        <v>4847</v>
      </c>
      <c r="E163" s="15" t="s">
        <v>589</v>
      </c>
      <c r="F163" s="84" t="s">
        <v>443</v>
      </c>
      <c r="G163" s="84"/>
      <c r="H163" s="20" t="s">
        <v>87</v>
      </c>
      <c r="I163" s="20">
        <v>501.90100000000001</v>
      </c>
      <c r="J163" s="34" t="s">
        <v>590</v>
      </c>
      <c r="K163" s="87" t="s">
        <v>553</v>
      </c>
      <c r="L163" s="94">
        <v>44869</v>
      </c>
      <c r="M163" s="25" t="s">
        <v>591</v>
      </c>
      <c r="N163" s="25" t="s">
        <v>592</v>
      </c>
      <c r="O163" s="84" t="s">
        <v>477</v>
      </c>
      <c r="P163" s="76" t="s">
        <v>593</v>
      </c>
      <c r="Q163" s="76"/>
    </row>
    <row r="164" spans="1:17" x14ac:dyDescent="0.3">
      <c r="A164" t="s">
        <v>60</v>
      </c>
      <c r="B164" s="36" t="s">
        <v>594</v>
      </c>
      <c r="C164" s="6" t="s">
        <v>595</v>
      </c>
      <c r="D164" s="6"/>
      <c r="E164" s="25" t="s">
        <v>596</v>
      </c>
      <c r="F164" s="97">
        <v>44745</v>
      </c>
      <c r="G164" s="25" t="s">
        <v>243</v>
      </c>
      <c r="H164" s="20">
        <v>125</v>
      </c>
      <c r="I164" s="5" t="s">
        <v>554</v>
      </c>
      <c r="J164" s="5"/>
      <c r="K164" s="61" t="s">
        <v>597</v>
      </c>
      <c r="L164" s="97">
        <v>44566</v>
      </c>
      <c r="M164" s="25" t="s">
        <v>516</v>
      </c>
      <c r="N164" s="2" t="s">
        <v>598</v>
      </c>
      <c r="O164" t="s">
        <v>599</v>
      </c>
    </row>
    <row r="165" spans="1:17" x14ac:dyDescent="0.3">
      <c r="A165" t="s">
        <v>38</v>
      </c>
      <c r="B165" s="36" t="s">
        <v>130</v>
      </c>
      <c r="C165" s="3" t="s">
        <v>470</v>
      </c>
      <c r="D165" s="83" t="s">
        <v>4827</v>
      </c>
      <c r="E165" s="4">
        <v>216111643</v>
      </c>
      <c r="F165" s="84" t="s">
        <v>4848</v>
      </c>
      <c r="G165" s="84"/>
      <c r="H165" s="20" t="s">
        <v>87</v>
      </c>
      <c r="I165" s="20">
        <v>374.85199999999998</v>
      </c>
      <c r="J165" s="34" t="s">
        <v>600</v>
      </c>
      <c r="K165" s="87" t="s">
        <v>553</v>
      </c>
      <c r="L165" s="94">
        <v>44869</v>
      </c>
      <c r="M165" s="25" t="s">
        <v>601</v>
      </c>
      <c r="N165" s="25" t="s">
        <v>547</v>
      </c>
      <c r="O165" s="84" t="s">
        <v>477</v>
      </c>
      <c r="P165" s="76" t="s">
        <v>602</v>
      </c>
      <c r="Q165" s="76"/>
    </row>
    <row r="166" spans="1:17" ht="15.6" x14ac:dyDescent="0.3">
      <c r="A166" t="s">
        <v>123</v>
      </c>
      <c r="B166" s="27" t="s">
        <v>603</v>
      </c>
      <c r="C166" s="11" t="s">
        <v>604</v>
      </c>
      <c r="D166" s="11"/>
      <c r="E166" s="2"/>
      <c r="F166" s="2"/>
      <c r="G166" s="25" t="s">
        <v>605</v>
      </c>
      <c r="H166" s="25">
        <v>54</v>
      </c>
      <c r="I166" s="25"/>
      <c r="J166" s="5">
        <v>2</v>
      </c>
      <c r="K166" s="2" t="s">
        <v>606</v>
      </c>
      <c r="L166" s="2"/>
      <c r="M166" s="2" t="s">
        <v>121</v>
      </c>
      <c r="N166" s="2"/>
      <c r="O166" t="s">
        <v>607</v>
      </c>
    </row>
    <row r="167" spans="1:17" ht="15.6" x14ac:dyDescent="0.3">
      <c r="A167" t="s">
        <v>38</v>
      </c>
      <c r="B167" s="22" t="s">
        <v>39</v>
      </c>
      <c r="C167" s="6" t="s">
        <v>608</v>
      </c>
      <c r="D167" s="84" t="s">
        <v>4849</v>
      </c>
      <c r="E167" s="21" t="s">
        <v>609</v>
      </c>
      <c r="F167" s="84" t="s">
        <v>4844</v>
      </c>
      <c r="G167" s="84"/>
      <c r="H167" s="7" t="s">
        <v>42</v>
      </c>
      <c r="I167" s="72">
        <v>463.64499999999998</v>
      </c>
      <c r="J167" s="34">
        <v>18</v>
      </c>
      <c r="K167" s="34">
        <v>40</v>
      </c>
      <c r="L167" s="84" t="s">
        <v>610</v>
      </c>
      <c r="M167" s="4" t="s">
        <v>611</v>
      </c>
      <c r="N167" s="25" t="s">
        <v>612</v>
      </c>
      <c r="O167" s="25" t="s">
        <v>613</v>
      </c>
      <c r="P167" s="84" t="s">
        <v>500</v>
      </c>
      <c r="Q167" t="s">
        <v>614</v>
      </c>
    </row>
    <row r="168" spans="1:17" x14ac:dyDescent="0.3">
      <c r="A168" t="s">
        <v>38</v>
      </c>
      <c r="B168" s="27" t="s">
        <v>541</v>
      </c>
      <c r="C168" s="15" t="s">
        <v>615</v>
      </c>
      <c r="D168" s="86" t="s">
        <v>4850</v>
      </c>
      <c r="E168" s="15" t="s">
        <v>616</v>
      </c>
      <c r="F168" s="84" t="s">
        <v>443</v>
      </c>
      <c r="G168" s="84"/>
      <c r="H168" s="20" t="s">
        <v>87</v>
      </c>
      <c r="I168" s="20">
        <v>527.01800000000003</v>
      </c>
      <c r="J168" s="34">
        <v>23</v>
      </c>
      <c r="K168" s="34">
        <v>20</v>
      </c>
      <c r="L168" s="87" t="s">
        <v>553</v>
      </c>
      <c r="M168" s="94">
        <v>44808</v>
      </c>
      <c r="N168" s="25" t="s">
        <v>617</v>
      </c>
      <c r="O168" s="25" t="s">
        <v>618</v>
      </c>
      <c r="P168" s="84" t="s">
        <v>500</v>
      </c>
      <c r="Q168" s="76" t="s">
        <v>619</v>
      </c>
    </row>
    <row r="169" spans="1:17" x14ac:dyDescent="0.3">
      <c r="A169" t="s">
        <v>60</v>
      </c>
      <c r="B169" s="2" t="s">
        <v>485</v>
      </c>
      <c r="C169" s="4" t="s">
        <v>570</v>
      </c>
      <c r="D169" s="112">
        <v>44595</v>
      </c>
      <c r="E169" s="2" t="s">
        <v>620</v>
      </c>
      <c r="F169" s="2"/>
      <c r="G169" s="2" t="s">
        <v>205</v>
      </c>
      <c r="H169" s="2">
        <v>30</v>
      </c>
      <c r="I169" s="2">
        <v>1</v>
      </c>
      <c r="J169" s="2"/>
      <c r="K169" s="61" t="s">
        <v>587</v>
      </c>
      <c r="L169" s="2"/>
      <c r="M169" s="25" t="s">
        <v>28</v>
      </c>
      <c r="N169" s="2"/>
      <c r="O169" t="s">
        <v>621</v>
      </c>
    </row>
    <row r="170" spans="1:17" ht="15.6" x14ac:dyDescent="0.3">
      <c r="A170" t="s">
        <v>123</v>
      </c>
      <c r="B170" s="27" t="s">
        <v>622</v>
      </c>
      <c r="C170" s="88"/>
      <c r="D170" s="88"/>
      <c r="E170" s="2"/>
      <c r="F170" s="2"/>
      <c r="G170" s="78" t="s">
        <v>623</v>
      </c>
      <c r="H170" s="25">
        <v>2.34</v>
      </c>
      <c r="I170" s="25"/>
      <c r="J170" s="5"/>
      <c r="K170" s="2"/>
      <c r="L170" s="2"/>
      <c r="M170" s="2" t="s">
        <v>28</v>
      </c>
      <c r="N170" s="2"/>
      <c r="O170" t="s">
        <v>624</v>
      </c>
    </row>
    <row r="171" spans="1:17" x14ac:dyDescent="0.3">
      <c r="A171" t="s">
        <v>38</v>
      </c>
      <c r="B171" s="27" t="s">
        <v>109</v>
      </c>
      <c r="C171" s="25" t="s">
        <v>625</v>
      </c>
      <c r="D171" s="85" t="s">
        <v>4851</v>
      </c>
      <c r="E171" s="25" t="s">
        <v>626</v>
      </c>
      <c r="F171" s="84" t="s">
        <v>4827</v>
      </c>
      <c r="G171" s="84"/>
      <c r="H171" s="16" t="s">
        <v>627</v>
      </c>
      <c r="I171" s="20">
        <v>481.8</v>
      </c>
      <c r="J171" s="34">
        <v>20</v>
      </c>
      <c r="K171" s="34">
        <v>20</v>
      </c>
      <c r="L171" s="87">
        <v>44777</v>
      </c>
      <c r="M171" s="25" t="s">
        <v>526</v>
      </c>
      <c r="N171" s="25" t="s">
        <v>628</v>
      </c>
      <c r="O171" s="20" t="s">
        <v>629</v>
      </c>
      <c r="P171" s="84" t="s">
        <v>630</v>
      </c>
      <c r="Q171" t="s">
        <v>631</v>
      </c>
    </row>
    <row r="172" spans="1:17" x14ac:dyDescent="0.3">
      <c r="A172" t="s">
        <v>529</v>
      </c>
      <c r="B172" s="36" t="s">
        <v>240</v>
      </c>
      <c r="C172" s="6" t="s">
        <v>632</v>
      </c>
      <c r="D172" s="6"/>
      <c r="E172" s="3" t="s">
        <v>633</v>
      </c>
      <c r="F172" s="3"/>
      <c r="G172" s="20" t="s">
        <v>243</v>
      </c>
      <c r="H172" s="8">
        <v>251.04</v>
      </c>
      <c r="I172" s="25">
        <v>10</v>
      </c>
      <c r="J172" s="25">
        <v>20</v>
      </c>
      <c r="K172" s="34"/>
      <c r="L172" s="61" t="s">
        <v>449</v>
      </c>
      <c r="M172" s="97">
        <v>44656</v>
      </c>
      <c r="N172" s="25" t="s">
        <v>634</v>
      </c>
      <c r="O172" s="2"/>
      <c r="P172" t="s">
        <v>635</v>
      </c>
    </row>
    <row r="173" spans="1:17" x14ac:dyDescent="0.3">
      <c r="A173" t="s">
        <v>60</v>
      </c>
      <c r="B173" s="27" t="s">
        <v>636</v>
      </c>
      <c r="C173" s="2" t="s">
        <v>637</v>
      </c>
      <c r="D173" s="2"/>
      <c r="E173" s="2" t="s">
        <v>638</v>
      </c>
      <c r="F173" s="2"/>
      <c r="G173" s="2" t="s">
        <v>639</v>
      </c>
      <c r="H173" s="2">
        <v>40</v>
      </c>
      <c r="I173" s="2">
        <v>2</v>
      </c>
      <c r="J173" s="2">
        <v>20</v>
      </c>
      <c r="K173" s="5"/>
      <c r="L173" s="2" t="s">
        <v>587</v>
      </c>
      <c r="M173" s="112">
        <v>44625</v>
      </c>
      <c r="N173" s="2" t="s">
        <v>28</v>
      </c>
      <c r="O173" s="2"/>
      <c r="P173" t="s">
        <v>640</v>
      </c>
    </row>
    <row r="174" spans="1:17" x14ac:dyDescent="0.3">
      <c r="A174" t="s">
        <v>3916</v>
      </c>
      <c r="B174" s="27" t="s">
        <v>39</v>
      </c>
      <c r="C174" s="2" t="s">
        <v>563</v>
      </c>
      <c r="D174" s="2"/>
      <c r="E174" s="19">
        <v>215420749</v>
      </c>
      <c r="F174" s="2"/>
      <c r="G174" s="7" t="s">
        <v>42</v>
      </c>
      <c r="H174" s="56">
        <v>390.73</v>
      </c>
      <c r="I174" s="56"/>
      <c r="J174" s="2">
        <v>15</v>
      </c>
      <c r="K174" s="2">
        <v>40</v>
      </c>
      <c r="L174" s="2" t="s">
        <v>587</v>
      </c>
      <c r="M174" s="112">
        <v>44625</v>
      </c>
      <c r="N174" s="2" t="s">
        <v>592</v>
      </c>
      <c r="O174" s="2"/>
      <c r="P174" s="18" t="s">
        <v>4852</v>
      </c>
    </row>
    <row r="175" spans="1:17" x14ac:dyDescent="0.3">
      <c r="A175" t="s">
        <v>123</v>
      </c>
      <c r="B175" s="27" t="s">
        <v>642</v>
      </c>
      <c r="C175" s="2" t="s">
        <v>643</v>
      </c>
      <c r="D175" s="2" t="s">
        <v>4853</v>
      </c>
      <c r="E175" s="2" t="s">
        <v>644</v>
      </c>
      <c r="F175" s="113" t="s">
        <v>606</v>
      </c>
      <c r="G175" s="116" t="s">
        <v>127</v>
      </c>
      <c r="H175" s="117">
        <v>26.9</v>
      </c>
      <c r="I175" s="114"/>
      <c r="J175" s="2"/>
      <c r="K175" s="2"/>
      <c r="L175" s="2"/>
      <c r="M175" s="2" t="s">
        <v>28</v>
      </c>
      <c r="N175" s="2"/>
      <c r="O175" t="s">
        <v>646</v>
      </c>
    </row>
    <row r="176" spans="1:17" x14ac:dyDescent="0.3">
      <c r="G176" s="118" t="s">
        <v>647</v>
      </c>
      <c r="H176" s="119">
        <v>3.1</v>
      </c>
    </row>
    <row r="177" spans="1:23" x14ac:dyDescent="0.3">
      <c r="A177" t="s">
        <v>38</v>
      </c>
      <c r="B177" s="27" t="s">
        <v>109</v>
      </c>
      <c r="C177" s="2" t="s">
        <v>648</v>
      </c>
      <c r="D177" s="85" t="s">
        <v>4844</v>
      </c>
      <c r="E177" s="25" t="s">
        <v>649</v>
      </c>
      <c r="F177" s="84" t="s">
        <v>4827</v>
      </c>
      <c r="G177" s="84"/>
      <c r="H177" s="16" t="s">
        <v>113</v>
      </c>
      <c r="I177" s="20">
        <v>362</v>
      </c>
      <c r="J177" s="34">
        <v>15</v>
      </c>
      <c r="K177" s="34">
        <v>20</v>
      </c>
      <c r="L177" s="87" t="s">
        <v>598</v>
      </c>
      <c r="M177" s="25" t="s">
        <v>546</v>
      </c>
      <c r="N177" s="25" t="s">
        <v>650</v>
      </c>
      <c r="O177" s="20" t="s">
        <v>629</v>
      </c>
      <c r="P177" s="84" t="s">
        <v>477</v>
      </c>
      <c r="Q177" t="s">
        <v>651</v>
      </c>
    </row>
    <row r="178" spans="1:23" x14ac:dyDescent="0.3">
      <c r="A178" t="s">
        <v>38</v>
      </c>
      <c r="B178" s="27" t="s">
        <v>652</v>
      </c>
      <c r="C178" s="25" t="s">
        <v>653</v>
      </c>
      <c r="D178" s="85" t="s">
        <v>4844</v>
      </c>
      <c r="E178" s="25" t="s">
        <v>654</v>
      </c>
      <c r="F178" s="84" t="s">
        <v>4854</v>
      </c>
      <c r="G178" s="84"/>
      <c r="H178" s="20" t="s">
        <v>87</v>
      </c>
      <c r="I178" s="20">
        <v>203.255</v>
      </c>
      <c r="J178" s="48">
        <v>10</v>
      </c>
      <c r="K178" s="34">
        <v>20</v>
      </c>
      <c r="L178" s="87">
        <v>44685</v>
      </c>
      <c r="M178" s="25" t="s">
        <v>655</v>
      </c>
      <c r="N178" s="98">
        <v>44597</v>
      </c>
      <c r="O178" s="4" t="s">
        <v>656</v>
      </c>
      <c r="P178" s="84" t="s">
        <v>477</v>
      </c>
      <c r="Q178" s="49" t="s">
        <v>657</v>
      </c>
    </row>
    <row r="179" spans="1:23" x14ac:dyDescent="0.3">
      <c r="A179" t="s">
        <v>38</v>
      </c>
      <c r="B179" s="36" t="s">
        <v>652</v>
      </c>
      <c r="C179" s="25" t="s">
        <v>658</v>
      </c>
      <c r="D179" s="85" t="s">
        <v>4855</v>
      </c>
      <c r="E179" s="20" t="s">
        <v>659</v>
      </c>
      <c r="F179" s="84" t="s">
        <v>4856</v>
      </c>
      <c r="G179" s="84"/>
      <c r="H179" s="20" t="s">
        <v>87</v>
      </c>
      <c r="I179" s="20">
        <v>480.68</v>
      </c>
      <c r="J179" s="48">
        <v>20</v>
      </c>
      <c r="K179" s="34">
        <v>20</v>
      </c>
      <c r="L179" s="87" t="s">
        <v>598</v>
      </c>
      <c r="M179" s="4" t="s">
        <v>606</v>
      </c>
      <c r="N179" s="97">
        <v>44566</v>
      </c>
      <c r="O179" s="25" t="s">
        <v>660</v>
      </c>
      <c r="P179" s="84" t="s">
        <v>630</v>
      </c>
      <c r="Q179" t="s">
        <v>661</v>
      </c>
    </row>
    <row r="180" spans="1:23" x14ac:dyDescent="0.3">
      <c r="A180" t="s">
        <v>38</v>
      </c>
      <c r="B180" s="99" t="s">
        <v>109</v>
      </c>
      <c r="C180" s="100" t="s">
        <v>432</v>
      </c>
      <c r="D180" s="101" t="s">
        <v>4857</v>
      </c>
      <c r="E180" s="102">
        <v>215646992</v>
      </c>
      <c r="F180" s="103" t="s">
        <v>4858</v>
      </c>
      <c r="G180" s="103"/>
      <c r="H180" s="104" t="s">
        <v>87</v>
      </c>
      <c r="I180" s="104">
        <v>78</v>
      </c>
      <c r="J180" s="105">
        <v>3</v>
      </c>
      <c r="K180" s="34">
        <v>20</v>
      </c>
      <c r="L180" s="106">
        <v>44807</v>
      </c>
      <c r="M180" s="100" t="s">
        <v>546</v>
      </c>
      <c r="N180" s="110">
        <v>44597</v>
      </c>
      <c r="O180" s="104" t="s">
        <v>662</v>
      </c>
      <c r="P180" s="103" t="s">
        <v>630</v>
      </c>
      <c r="Q180" t="s">
        <v>663</v>
      </c>
    </row>
    <row r="181" spans="1:23" ht="15.6" x14ac:dyDescent="0.3">
      <c r="A181" t="s">
        <v>123</v>
      </c>
      <c r="B181" s="27" t="s">
        <v>166</v>
      </c>
      <c r="C181" s="88" t="s">
        <v>567</v>
      </c>
      <c r="E181" s="88" t="s">
        <v>664</v>
      </c>
      <c r="F181" s="2"/>
      <c r="G181" s="78" t="s">
        <v>169</v>
      </c>
      <c r="H181" s="25">
        <v>56</v>
      </c>
      <c r="I181" s="25"/>
      <c r="J181" s="5">
        <v>2</v>
      </c>
      <c r="K181" s="2" t="s">
        <v>617</v>
      </c>
      <c r="L181" s="2"/>
      <c r="M181" s="2" t="s">
        <v>665</v>
      </c>
      <c r="N181" s="2"/>
      <c r="Q181" t="s">
        <v>666</v>
      </c>
    </row>
    <row r="182" spans="1:23" x14ac:dyDescent="0.3">
      <c r="A182" t="s">
        <v>123</v>
      </c>
      <c r="B182" s="16" t="s">
        <v>667</v>
      </c>
      <c r="C182" s="2" t="s">
        <v>668</v>
      </c>
      <c r="D182" s="2"/>
      <c r="E182" s="2" t="s">
        <v>669</v>
      </c>
      <c r="F182" s="2"/>
      <c r="G182" s="67" t="s">
        <v>670</v>
      </c>
      <c r="H182" s="25">
        <v>205</v>
      </c>
      <c r="I182" s="25"/>
      <c r="J182" s="2"/>
      <c r="K182" s="2" t="s">
        <v>538</v>
      </c>
      <c r="L182" s="2"/>
      <c r="M182" s="2" t="s">
        <v>463</v>
      </c>
      <c r="N182" s="2"/>
    </row>
    <row r="183" spans="1:23" x14ac:dyDescent="0.3">
      <c r="A183" t="s">
        <v>60</v>
      </c>
      <c r="B183" s="2" t="s">
        <v>485</v>
      </c>
      <c r="C183" s="4" t="s">
        <v>570</v>
      </c>
      <c r="D183" s="95">
        <v>44595</v>
      </c>
      <c r="E183" s="2" t="s">
        <v>671</v>
      </c>
      <c r="F183" s="2"/>
      <c r="G183" s="2" t="s">
        <v>205</v>
      </c>
      <c r="H183" s="2">
        <v>30</v>
      </c>
      <c r="I183" s="2">
        <v>1</v>
      </c>
      <c r="J183" s="2"/>
      <c r="K183" s="2"/>
      <c r="L183" s="61" t="s">
        <v>672</v>
      </c>
      <c r="M183" s="2">
        <v>14</v>
      </c>
      <c r="N183" s="25" t="s">
        <v>28</v>
      </c>
      <c r="O183" s="2"/>
      <c r="Q183" t="s">
        <v>673</v>
      </c>
    </row>
    <row r="184" spans="1:23" x14ac:dyDescent="0.3">
      <c r="A184" t="s">
        <v>38</v>
      </c>
      <c r="B184" s="36" t="s">
        <v>94</v>
      </c>
      <c r="C184" s="66" t="s">
        <v>674</v>
      </c>
      <c r="D184" s="82" t="s">
        <v>4859</v>
      </c>
      <c r="E184" s="25" t="s">
        <v>675</v>
      </c>
      <c r="F184" s="84" t="s">
        <v>4860</v>
      </c>
      <c r="G184" s="84"/>
      <c r="H184" s="7" t="s">
        <v>438</v>
      </c>
      <c r="I184" s="39">
        <v>16.5</v>
      </c>
      <c r="J184" s="34">
        <v>1</v>
      </c>
      <c r="K184" s="34">
        <v>20</v>
      </c>
      <c r="L184" s="87">
        <v>44838</v>
      </c>
      <c r="M184" s="6" t="s">
        <v>676</v>
      </c>
      <c r="N184" s="97">
        <v>44717</v>
      </c>
      <c r="O184" s="25" t="s">
        <v>121</v>
      </c>
      <c r="P184" s="84" t="s">
        <v>630</v>
      </c>
      <c r="Q184" t="s">
        <v>677</v>
      </c>
    </row>
    <row r="185" spans="1:23" ht="15.6" x14ac:dyDescent="0.3">
      <c r="A185" t="s">
        <v>38</v>
      </c>
      <c r="B185" s="27" t="s">
        <v>157</v>
      </c>
      <c r="C185" s="25" t="s">
        <v>678</v>
      </c>
      <c r="D185" s="85" t="s">
        <v>4861</v>
      </c>
      <c r="E185" s="25" t="s">
        <v>679</v>
      </c>
      <c r="F185" s="84" t="s">
        <v>4862</v>
      </c>
      <c r="G185" s="132" t="s">
        <v>3585</v>
      </c>
      <c r="H185" s="20" t="s">
        <v>87</v>
      </c>
      <c r="I185" s="20">
        <v>575.09799999999996</v>
      </c>
      <c r="J185" s="34">
        <v>22</v>
      </c>
      <c r="K185" s="34">
        <v>40</v>
      </c>
      <c r="L185" s="87">
        <v>44777</v>
      </c>
      <c r="M185" s="4" t="s">
        <v>680</v>
      </c>
      <c r="N185" s="97">
        <v>44656</v>
      </c>
      <c r="O185" s="25" t="s">
        <v>629</v>
      </c>
      <c r="P185" s="84" t="s">
        <v>630</v>
      </c>
      <c r="Q185" t="s">
        <v>681</v>
      </c>
    </row>
    <row r="186" spans="1:23" ht="15.6" x14ac:dyDescent="0.3">
      <c r="A186" t="s">
        <v>60</v>
      </c>
      <c r="B186" s="75" t="s">
        <v>39</v>
      </c>
      <c r="C186" s="69" t="s">
        <v>530</v>
      </c>
      <c r="D186" s="69"/>
      <c r="E186" s="19">
        <v>216351123</v>
      </c>
      <c r="F186" s="19"/>
      <c r="G186" s="129" t="s">
        <v>4863</v>
      </c>
      <c r="H186" s="7" t="s">
        <v>42</v>
      </c>
      <c r="I186" s="68">
        <v>26</v>
      </c>
      <c r="J186" s="25">
        <v>1</v>
      </c>
      <c r="K186" s="25">
        <v>40</v>
      </c>
      <c r="L186" s="34"/>
      <c r="M186" s="20" t="s">
        <v>449</v>
      </c>
      <c r="N186" s="97">
        <v>44717</v>
      </c>
      <c r="O186" s="25" t="s">
        <v>682</v>
      </c>
      <c r="P186" s="2" t="s">
        <v>586</v>
      </c>
      <c r="Q186" t="s">
        <v>683</v>
      </c>
    </row>
    <row r="187" spans="1:23" x14ac:dyDescent="0.3">
      <c r="A187" t="s">
        <v>38</v>
      </c>
      <c r="B187" s="36" t="s">
        <v>684</v>
      </c>
      <c r="C187" s="25" t="s">
        <v>685</v>
      </c>
      <c r="D187" s="25" t="s">
        <v>320</v>
      </c>
      <c r="E187" s="15" t="s">
        <v>686</v>
      </c>
      <c r="F187" s="15" t="s">
        <v>64</v>
      </c>
      <c r="G187" s="134" t="s">
        <v>4864</v>
      </c>
      <c r="H187" s="25" t="s">
        <v>87</v>
      </c>
      <c r="I187" s="20">
        <v>203.9</v>
      </c>
      <c r="J187" s="5">
        <v>10</v>
      </c>
      <c r="K187" s="34">
        <v>20</v>
      </c>
      <c r="L187" s="95">
        <v>44899</v>
      </c>
      <c r="M187" s="19" t="s">
        <v>628</v>
      </c>
      <c r="N187" s="112">
        <v>44870</v>
      </c>
      <c r="O187" s="2" t="s">
        <v>687</v>
      </c>
      <c r="P187" s="2" t="s">
        <v>688</v>
      </c>
      <c r="Q187" s="18" t="s">
        <v>689</v>
      </c>
      <c r="R187" s="138">
        <v>44686</v>
      </c>
    </row>
    <row r="188" spans="1:23" ht="15.6" x14ac:dyDescent="0.3">
      <c r="A188" t="s">
        <v>38</v>
      </c>
      <c r="B188" s="27" t="s">
        <v>541</v>
      </c>
      <c r="C188" s="15" t="s">
        <v>558</v>
      </c>
      <c r="D188" s="86" t="s">
        <v>4843</v>
      </c>
      <c r="E188" s="4">
        <v>216350081</v>
      </c>
      <c r="F188" s="84" t="s">
        <v>4844</v>
      </c>
      <c r="G188" s="133" t="s">
        <v>4865</v>
      </c>
      <c r="H188" s="20" t="s">
        <v>87</v>
      </c>
      <c r="I188" s="20">
        <v>23.251000000000001</v>
      </c>
      <c r="J188" s="34">
        <v>1</v>
      </c>
      <c r="K188" s="34">
        <v>20</v>
      </c>
      <c r="L188" s="84" t="s">
        <v>655</v>
      </c>
      <c r="M188" s="25" t="s">
        <v>628</v>
      </c>
      <c r="N188" s="97">
        <v>44870</v>
      </c>
      <c r="O188" s="25" t="s">
        <v>634</v>
      </c>
      <c r="P188" s="84" t="s">
        <v>561</v>
      </c>
      <c r="Q188" s="76" t="s">
        <v>689</v>
      </c>
      <c r="R188" s="139">
        <v>44717</v>
      </c>
    </row>
    <row r="189" spans="1:23" x14ac:dyDescent="0.3">
      <c r="A189" t="s">
        <v>3916</v>
      </c>
      <c r="B189" s="27" t="s">
        <v>690</v>
      </c>
      <c r="C189" s="20" t="s">
        <v>691</v>
      </c>
      <c r="D189" s="20" t="s">
        <v>4866</v>
      </c>
      <c r="E189" s="19">
        <v>215695956</v>
      </c>
      <c r="F189" s="2" t="s">
        <v>4867</v>
      </c>
      <c r="G189" s="129" t="s">
        <v>4863</v>
      </c>
      <c r="H189" s="7" t="s">
        <v>42</v>
      </c>
      <c r="I189" s="56">
        <v>250.71299999999999</v>
      </c>
      <c r="J189" s="56"/>
      <c r="K189" s="2">
        <v>10</v>
      </c>
      <c r="L189" s="2">
        <v>40</v>
      </c>
      <c r="M189" s="6" t="s">
        <v>650</v>
      </c>
      <c r="N189" s="2" t="s">
        <v>692</v>
      </c>
      <c r="O189" s="2" t="s">
        <v>629</v>
      </c>
      <c r="P189" s="2"/>
      <c r="Q189" t="s">
        <v>4868</v>
      </c>
    </row>
    <row r="190" spans="1:23" ht="15.6" x14ac:dyDescent="0.3">
      <c r="A190" t="s">
        <v>1438</v>
      </c>
      <c r="B190" s="22" t="s">
        <v>690</v>
      </c>
      <c r="C190" s="6" t="s">
        <v>694</v>
      </c>
      <c r="D190" s="6" t="s">
        <v>4869</v>
      </c>
      <c r="E190" s="21" t="s">
        <v>695</v>
      </c>
      <c r="F190" s="21" t="s">
        <v>4870</v>
      </c>
      <c r="G190" s="129" t="s">
        <v>4863</v>
      </c>
      <c r="H190" s="7" t="s">
        <v>42</v>
      </c>
      <c r="I190" s="56">
        <v>251.12700000000001</v>
      </c>
      <c r="J190" s="2">
        <v>10</v>
      </c>
      <c r="K190" s="2">
        <v>40</v>
      </c>
      <c r="L190" s="56" t="s">
        <v>696</v>
      </c>
      <c r="M190" s="2" t="s">
        <v>697</v>
      </c>
      <c r="N190" s="112">
        <v>44839</v>
      </c>
      <c r="O190" s="2" t="s">
        <v>698</v>
      </c>
      <c r="P190" s="2"/>
      <c r="Q190" s="18" t="s">
        <v>4871</v>
      </c>
    </row>
    <row r="191" spans="1:23" x14ac:dyDescent="0.3">
      <c r="A191" t="s">
        <v>38</v>
      </c>
      <c r="B191" s="27" t="s">
        <v>700</v>
      </c>
      <c r="C191" s="149" t="s">
        <v>701</v>
      </c>
      <c r="D191" s="15" t="s">
        <v>4872</v>
      </c>
      <c r="E191" s="15" t="s">
        <v>702</v>
      </c>
      <c r="F191" s="15" t="s">
        <v>4873</v>
      </c>
      <c r="G191" s="2" t="s">
        <v>4874</v>
      </c>
      <c r="H191" s="25" t="s">
        <v>87</v>
      </c>
      <c r="I191" s="20">
        <v>976.18299999999999</v>
      </c>
      <c r="J191" s="5">
        <v>43</v>
      </c>
      <c r="K191" s="34">
        <v>20</v>
      </c>
      <c r="L191" s="5"/>
      <c r="M191" s="97">
        <v>44597</v>
      </c>
      <c r="N191" s="44" t="s">
        <v>703</v>
      </c>
      <c r="O191" s="2" t="s">
        <v>704</v>
      </c>
      <c r="P191" s="2" t="s">
        <v>705</v>
      </c>
      <c r="Q191" s="18" t="s">
        <v>706</v>
      </c>
      <c r="W191" t="s">
        <v>707</v>
      </c>
    </row>
    <row r="192" spans="1:23" x14ac:dyDescent="0.3">
      <c r="A192" t="s">
        <v>60</v>
      </c>
      <c r="B192" s="2" t="s">
        <v>708</v>
      </c>
      <c r="C192" s="2" t="s">
        <v>709</v>
      </c>
      <c r="D192" s="2"/>
      <c r="E192" s="2"/>
      <c r="F192" s="2"/>
      <c r="G192" s="2"/>
      <c r="H192" s="7" t="s">
        <v>710</v>
      </c>
      <c r="I192" s="2">
        <v>20.010000000000002</v>
      </c>
      <c r="J192" s="2">
        <v>1</v>
      </c>
      <c r="K192" s="2"/>
      <c r="L192" s="2"/>
      <c r="M192" s="61" t="s">
        <v>711</v>
      </c>
      <c r="N192" s="2"/>
      <c r="O192" s="25" t="s">
        <v>121</v>
      </c>
      <c r="P192" s="2"/>
    </row>
    <row r="193" spans="1:27" x14ac:dyDescent="0.3">
      <c r="A193" t="s">
        <v>60</v>
      </c>
      <c r="B193" s="27" t="s">
        <v>712</v>
      </c>
      <c r="C193" s="19" t="s">
        <v>713</v>
      </c>
      <c r="D193" s="2"/>
      <c r="E193" s="124" t="s">
        <v>714</v>
      </c>
      <c r="F193" s="97">
        <v>44564</v>
      </c>
      <c r="G193" s="97" t="s">
        <v>4875</v>
      </c>
      <c r="H193" s="2" t="s">
        <v>715</v>
      </c>
      <c r="I193" s="65">
        <v>112.42</v>
      </c>
      <c r="J193" s="2">
        <v>5</v>
      </c>
      <c r="K193" s="2">
        <v>20</v>
      </c>
      <c r="L193" s="112">
        <v>44566</v>
      </c>
      <c r="M193" s="95">
        <v>44686</v>
      </c>
      <c r="N193" s="97" t="s">
        <v>716</v>
      </c>
      <c r="O193" s="25" t="s">
        <v>717</v>
      </c>
      <c r="Q193" t="s">
        <v>718</v>
      </c>
    </row>
    <row r="194" spans="1:27" x14ac:dyDescent="0.3">
      <c r="A194" t="s">
        <v>123</v>
      </c>
      <c r="B194" s="27" t="s">
        <v>373</v>
      </c>
      <c r="C194" s="2" t="s">
        <v>374</v>
      </c>
      <c r="D194" s="2"/>
      <c r="E194" s="2" t="s">
        <v>719</v>
      </c>
      <c r="F194" s="2"/>
      <c r="G194" s="130" t="s">
        <v>4876</v>
      </c>
      <c r="H194" s="46" t="s">
        <v>720</v>
      </c>
      <c r="I194" s="25">
        <v>25.5</v>
      </c>
      <c r="J194" s="25"/>
      <c r="K194" s="5" t="s">
        <v>721</v>
      </c>
      <c r="L194" s="5">
        <v>40</v>
      </c>
      <c r="M194" s="2" t="s">
        <v>722</v>
      </c>
      <c r="N194" s="112" t="s">
        <v>723</v>
      </c>
      <c r="O194" s="2" t="s">
        <v>724</v>
      </c>
      <c r="P194" s="2"/>
      <c r="Q194" s="18" t="s">
        <v>725</v>
      </c>
      <c r="S194" t="s">
        <v>726</v>
      </c>
    </row>
    <row r="195" spans="1:27" x14ac:dyDescent="0.3">
      <c r="B195" s="598" t="s">
        <v>230</v>
      </c>
      <c r="C195" s="592" t="s">
        <v>727</v>
      </c>
      <c r="D195" s="2"/>
      <c r="E195" s="592" t="s">
        <v>728</v>
      </c>
      <c r="F195" s="2"/>
      <c r="G195" s="2"/>
      <c r="H195" s="2" t="s">
        <v>729</v>
      </c>
      <c r="I195" s="2">
        <v>35</v>
      </c>
      <c r="J195" s="2"/>
      <c r="K195" s="2"/>
      <c r="L195" s="2"/>
      <c r="M195" s="2"/>
      <c r="N195" s="2"/>
      <c r="O195" s="592" t="s">
        <v>730</v>
      </c>
      <c r="Q195" t="s">
        <v>725</v>
      </c>
    </row>
    <row r="196" spans="1:27" x14ac:dyDescent="0.3">
      <c r="A196" t="s">
        <v>123</v>
      </c>
      <c r="B196" s="598"/>
      <c r="C196" s="592"/>
      <c r="D196" s="2"/>
      <c r="E196" s="592"/>
      <c r="F196" s="2"/>
      <c r="G196" s="2"/>
      <c r="H196" s="2" t="s">
        <v>731</v>
      </c>
      <c r="I196" s="2">
        <v>25</v>
      </c>
      <c r="J196" s="2"/>
      <c r="K196" s="2"/>
      <c r="L196" s="2"/>
      <c r="M196" s="2"/>
      <c r="N196" s="2"/>
      <c r="O196" s="592"/>
    </row>
    <row r="197" spans="1:27" ht="15.6" x14ac:dyDescent="0.3">
      <c r="A197" t="s">
        <v>38</v>
      </c>
      <c r="B197" s="27" t="s">
        <v>541</v>
      </c>
      <c r="C197" s="15" t="s">
        <v>558</v>
      </c>
      <c r="D197" s="86" t="s">
        <v>4843</v>
      </c>
      <c r="E197" s="15" t="s">
        <v>732</v>
      </c>
      <c r="F197" s="84" t="s">
        <v>4877</v>
      </c>
      <c r="G197" s="133" t="s">
        <v>4865</v>
      </c>
      <c r="H197" s="20" t="s">
        <v>87</v>
      </c>
      <c r="I197" s="20">
        <v>240.63900000000001</v>
      </c>
      <c r="J197" s="34">
        <v>12</v>
      </c>
      <c r="K197" s="34">
        <v>20</v>
      </c>
      <c r="L197" s="87">
        <v>44565</v>
      </c>
      <c r="M197" s="97">
        <v>44597</v>
      </c>
      <c r="N197" s="4" t="s">
        <v>703</v>
      </c>
      <c r="O197" s="25" t="s">
        <v>629</v>
      </c>
      <c r="P197" s="84" t="s">
        <v>561</v>
      </c>
      <c r="Q197" s="76" t="s">
        <v>733</v>
      </c>
      <c r="R197" s="76"/>
    </row>
    <row r="198" spans="1:27" x14ac:dyDescent="0.3">
      <c r="A198" t="s">
        <v>4878</v>
      </c>
      <c r="B198" s="27" t="s">
        <v>39</v>
      </c>
      <c r="C198" s="2" t="s">
        <v>563</v>
      </c>
      <c r="D198" s="2"/>
      <c r="E198" s="19">
        <v>216662747</v>
      </c>
      <c r="F198" s="2"/>
      <c r="G198" s="129" t="s">
        <v>4863</v>
      </c>
      <c r="H198" s="7" t="s">
        <v>42</v>
      </c>
      <c r="I198" s="56">
        <v>26.091000000000001</v>
      </c>
      <c r="J198" s="56"/>
      <c r="K198" s="2">
        <v>1</v>
      </c>
      <c r="L198" s="2">
        <v>40</v>
      </c>
      <c r="M198" s="95" t="s">
        <v>628</v>
      </c>
      <c r="N198" s="112">
        <v>44870</v>
      </c>
      <c r="O198" s="2" t="s">
        <v>629</v>
      </c>
      <c r="P198" s="2"/>
      <c r="Q198" t="s">
        <v>734</v>
      </c>
    </row>
    <row r="199" spans="1:27" x14ac:dyDescent="0.3">
      <c r="A199" t="s">
        <v>60</v>
      </c>
      <c r="B199" s="36" t="s">
        <v>94</v>
      </c>
      <c r="C199" s="6" t="s">
        <v>735</v>
      </c>
      <c r="D199" s="6"/>
      <c r="E199" s="79" t="s">
        <v>736</v>
      </c>
      <c r="F199" s="79"/>
      <c r="G199" s="79" t="s">
        <v>4879</v>
      </c>
      <c r="H199" s="7" t="s">
        <v>102</v>
      </c>
      <c r="I199" s="65">
        <v>16.5</v>
      </c>
      <c r="J199" s="2">
        <v>1</v>
      </c>
      <c r="K199" s="2">
        <v>20</v>
      </c>
      <c r="L199" s="5" t="s">
        <v>606</v>
      </c>
      <c r="M199" s="96">
        <v>44597</v>
      </c>
      <c r="N199" s="25">
        <v>14</v>
      </c>
      <c r="O199" s="25" t="s">
        <v>28</v>
      </c>
      <c r="P199" s="2"/>
      <c r="Q199" t="s">
        <v>737</v>
      </c>
    </row>
    <row r="200" spans="1:27" x14ac:dyDescent="0.3">
      <c r="A200" t="s">
        <v>60</v>
      </c>
      <c r="B200" s="27" t="s">
        <v>94</v>
      </c>
      <c r="C200" s="4" t="s">
        <v>738</v>
      </c>
      <c r="D200" s="4"/>
      <c r="E200" s="2" t="s">
        <v>739</v>
      </c>
      <c r="F200" s="2"/>
      <c r="G200" s="79" t="s">
        <v>4879</v>
      </c>
      <c r="H200" s="16" t="s">
        <v>102</v>
      </c>
      <c r="I200" s="25">
        <v>16.5</v>
      </c>
      <c r="J200" s="2">
        <v>1</v>
      </c>
      <c r="K200" s="2">
        <v>20</v>
      </c>
      <c r="L200" s="5"/>
      <c r="M200" s="61" t="s">
        <v>740</v>
      </c>
      <c r="N200" s="25">
        <v>14</v>
      </c>
      <c r="O200" s="25" t="s">
        <v>121</v>
      </c>
      <c r="P200" s="2"/>
      <c r="Q200" t="s">
        <v>741</v>
      </c>
    </row>
    <row r="201" spans="1:27" x14ac:dyDescent="0.3">
      <c r="A201" t="s">
        <v>4880</v>
      </c>
      <c r="B201" s="36" t="s">
        <v>109</v>
      </c>
      <c r="C201" s="2" t="s">
        <v>742</v>
      </c>
      <c r="D201" s="85" t="s">
        <v>443</v>
      </c>
      <c r="E201" s="20" t="s">
        <v>743</v>
      </c>
      <c r="F201" s="84" t="s">
        <v>4827</v>
      </c>
      <c r="G201" s="25" t="s">
        <v>3615</v>
      </c>
      <c r="H201" s="20" t="s">
        <v>87</v>
      </c>
      <c r="I201" s="52">
        <v>362.33</v>
      </c>
      <c r="J201" s="48">
        <v>15</v>
      </c>
      <c r="K201" s="34">
        <v>20</v>
      </c>
      <c r="L201" s="87" t="s">
        <v>628</v>
      </c>
      <c r="M201" s="94">
        <v>44686</v>
      </c>
      <c r="N201" s="25" t="s">
        <v>744</v>
      </c>
      <c r="O201" s="25" t="s">
        <v>745</v>
      </c>
      <c r="P201" s="25"/>
      <c r="Q201" t="s">
        <v>746</v>
      </c>
      <c r="R201" s="137"/>
    </row>
    <row r="202" spans="1:27" ht="15.6" x14ac:dyDescent="0.3">
      <c r="A202" t="s">
        <v>38</v>
      </c>
      <c r="B202" s="27" t="s">
        <v>157</v>
      </c>
      <c r="C202" s="2" t="s">
        <v>747</v>
      </c>
      <c r="D202" s="25" t="s">
        <v>363</v>
      </c>
      <c r="E202" s="25" t="s">
        <v>748</v>
      </c>
      <c r="F202" s="25" t="s">
        <v>154</v>
      </c>
      <c r="G202" s="132" t="s">
        <v>3585</v>
      </c>
      <c r="H202" s="20" t="s">
        <v>87</v>
      </c>
      <c r="I202" s="20">
        <v>496.30599999999998</v>
      </c>
      <c r="J202" s="34">
        <v>19</v>
      </c>
      <c r="K202" s="34">
        <v>40</v>
      </c>
      <c r="L202" s="87"/>
      <c r="M202" s="94">
        <v>44625</v>
      </c>
      <c r="N202" s="4" t="s">
        <v>703</v>
      </c>
      <c r="O202" s="25" t="s">
        <v>749</v>
      </c>
      <c r="P202" s="84" t="s">
        <v>538</v>
      </c>
      <c r="Q202" s="76" t="s">
        <v>750</v>
      </c>
    </row>
    <row r="203" spans="1:27" x14ac:dyDescent="0.3">
      <c r="A203" t="s">
        <v>60</v>
      </c>
      <c r="B203" s="27" t="s">
        <v>39</v>
      </c>
      <c r="C203" s="4" t="s">
        <v>751</v>
      </c>
      <c r="D203" s="4"/>
      <c r="E203" s="3" t="s">
        <v>752</v>
      </c>
      <c r="F203" s="3"/>
      <c r="G203" s="129" t="s">
        <v>4863</v>
      </c>
      <c r="H203" s="7" t="s">
        <v>42</v>
      </c>
      <c r="I203" s="56">
        <v>469.84899999999999</v>
      </c>
      <c r="J203" s="25">
        <v>18</v>
      </c>
      <c r="K203" s="25">
        <v>40</v>
      </c>
      <c r="L203" s="34"/>
      <c r="M203" s="61" t="s">
        <v>753</v>
      </c>
      <c r="N203" s="97">
        <v>44900</v>
      </c>
      <c r="O203" s="20" t="s">
        <v>754</v>
      </c>
      <c r="P203" s="2" t="s">
        <v>755</v>
      </c>
      <c r="Q203" t="s">
        <v>756</v>
      </c>
      <c r="AA203" t="s">
        <v>757</v>
      </c>
    </row>
    <row r="204" spans="1:27" x14ac:dyDescent="0.3">
      <c r="B204" s="593" t="s">
        <v>758</v>
      </c>
      <c r="C204" s="592" t="s">
        <v>759</v>
      </c>
      <c r="D204" s="2"/>
      <c r="E204" s="2"/>
      <c r="F204" s="2"/>
      <c r="G204" s="2"/>
      <c r="H204" s="2" t="s">
        <v>760</v>
      </c>
      <c r="I204" s="2">
        <v>10000</v>
      </c>
      <c r="J204" s="2"/>
      <c r="K204" s="2"/>
      <c r="L204" s="2"/>
      <c r="M204" s="594">
        <v>44656</v>
      </c>
      <c r="N204" s="2"/>
      <c r="O204" s="2" t="s">
        <v>463</v>
      </c>
      <c r="P204" s="2"/>
      <c r="Q204" t="s">
        <v>761</v>
      </c>
    </row>
    <row r="205" spans="1:27" x14ac:dyDescent="0.3">
      <c r="A205" t="s">
        <v>123</v>
      </c>
      <c r="B205" s="593"/>
      <c r="C205" s="592"/>
      <c r="D205" s="2"/>
      <c r="E205" s="2"/>
      <c r="F205" s="2"/>
      <c r="G205" s="2"/>
      <c r="H205" s="2" t="s">
        <v>762</v>
      </c>
      <c r="I205" s="2">
        <v>2000</v>
      </c>
      <c r="J205" s="2"/>
      <c r="K205" s="2"/>
      <c r="L205" s="2"/>
      <c r="M205" s="592"/>
      <c r="N205" s="2"/>
      <c r="O205" s="2" t="s">
        <v>463</v>
      </c>
      <c r="P205" s="2"/>
    </row>
    <row r="206" spans="1:27" x14ac:dyDescent="0.3">
      <c r="A206" t="s">
        <v>123</v>
      </c>
      <c r="B206" s="124" t="s">
        <v>758</v>
      </c>
      <c r="C206" s="122" t="s">
        <v>763</v>
      </c>
      <c r="D206" s="2"/>
      <c r="E206" s="2"/>
      <c r="F206" s="2"/>
      <c r="G206" s="2"/>
      <c r="H206" s="67" t="s">
        <v>764</v>
      </c>
      <c r="I206" s="25">
        <v>100</v>
      </c>
      <c r="J206" s="2"/>
      <c r="K206" s="2"/>
      <c r="L206" s="2"/>
      <c r="M206" s="95">
        <v>44656</v>
      </c>
      <c r="N206" s="2"/>
      <c r="O206" s="2" t="s">
        <v>463</v>
      </c>
      <c r="P206" s="2"/>
    </row>
    <row r="207" spans="1:27" x14ac:dyDescent="0.3">
      <c r="A207" t="s">
        <v>123</v>
      </c>
      <c r="B207" s="123" t="s">
        <v>765</v>
      </c>
      <c r="C207" s="19" t="s">
        <v>766</v>
      </c>
      <c r="D207" s="2"/>
      <c r="E207" s="2"/>
      <c r="F207" s="2"/>
      <c r="G207" s="2"/>
      <c r="H207" s="2" t="s">
        <v>767</v>
      </c>
      <c r="I207" s="2">
        <v>15000</v>
      </c>
      <c r="J207" s="2"/>
      <c r="K207" s="2"/>
      <c r="L207" s="2"/>
      <c r="M207" s="95">
        <v>44656</v>
      </c>
      <c r="N207" s="2"/>
      <c r="O207" s="2" t="s">
        <v>463</v>
      </c>
      <c r="P207" s="2"/>
      <c r="Q207" s="137" t="s">
        <v>768</v>
      </c>
    </row>
    <row r="208" spans="1:27" x14ac:dyDescent="0.3">
      <c r="A208" t="s">
        <v>60</v>
      </c>
      <c r="B208" s="2" t="s">
        <v>769</v>
      </c>
      <c r="C208" s="4" t="s">
        <v>770</v>
      </c>
      <c r="D208" s="95">
        <v>44714</v>
      </c>
      <c r="E208" s="25" t="s">
        <v>771</v>
      </c>
      <c r="F208" s="25"/>
      <c r="G208" s="25"/>
      <c r="H208" s="2" t="s">
        <v>772</v>
      </c>
      <c r="I208" s="2"/>
      <c r="J208" s="2">
        <v>1</v>
      </c>
      <c r="K208" s="2"/>
      <c r="L208" s="2"/>
      <c r="M208" s="61" t="s">
        <v>628</v>
      </c>
      <c r="N208" s="2"/>
      <c r="O208" s="25" t="s">
        <v>28</v>
      </c>
      <c r="P208" s="2"/>
      <c r="Q208" t="s">
        <v>773</v>
      </c>
    </row>
    <row r="209" spans="1:36" ht="15.6" x14ac:dyDescent="0.3">
      <c r="A209" t="s">
        <v>60</v>
      </c>
      <c r="B209" s="22" t="s">
        <v>39</v>
      </c>
      <c r="C209" s="20" t="s">
        <v>774</v>
      </c>
      <c r="D209" s="96">
        <v>44206</v>
      </c>
      <c r="E209" s="4">
        <v>215420667</v>
      </c>
      <c r="F209" s="4" t="s">
        <v>4867</v>
      </c>
      <c r="G209" s="129" t="s">
        <v>4863</v>
      </c>
      <c r="H209" s="7" t="s">
        <v>42</v>
      </c>
      <c r="I209" s="47">
        <v>469.49599999999998</v>
      </c>
      <c r="J209" s="25">
        <v>18</v>
      </c>
      <c r="K209" s="25">
        <v>40</v>
      </c>
      <c r="L209" s="34"/>
      <c r="M209" s="61" t="s">
        <v>775</v>
      </c>
      <c r="N209" s="2" t="s">
        <v>692</v>
      </c>
      <c r="O209" s="2" t="s">
        <v>634</v>
      </c>
      <c r="P209" s="95">
        <v>44809</v>
      </c>
      <c r="Q209" t="s">
        <v>776</v>
      </c>
    </row>
    <row r="210" spans="1:36" ht="15.6" x14ac:dyDescent="0.3">
      <c r="A210" t="s">
        <v>38</v>
      </c>
      <c r="B210" s="27" t="s">
        <v>157</v>
      </c>
      <c r="C210" s="25" t="s">
        <v>777</v>
      </c>
      <c r="D210" s="25" t="s">
        <v>4881</v>
      </c>
      <c r="E210" s="25" t="s">
        <v>778</v>
      </c>
      <c r="F210" s="25" t="s">
        <v>443</v>
      </c>
      <c r="G210" s="132" t="s">
        <v>3585</v>
      </c>
      <c r="H210" s="20" t="s">
        <v>87</v>
      </c>
      <c r="I210" s="20">
        <v>261.40800000000002</v>
      </c>
      <c r="J210" s="34">
        <v>10</v>
      </c>
      <c r="K210" s="34">
        <v>40</v>
      </c>
      <c r="L210" s="87" t="s">
        <v>598</v>
      </c>
      <c r="M210" s="94">
        <v>44686</v>
      </c>
      <c r="N210" s="25" t="s">
        <v>779</v>
      </c>
      <c r="O210" s="25" t="s">
        <v>780</v>
      </c>
      <c r="P210" s="84" t="s">
        <v>688</v>
      </c>
      <c r="Q210" t="s">
        <v>781</v>
      </c>
      <c r="S210" t="s">
        <v>782</v>
      </c>
    </row>
    <row r="211" spans="1:36" x14ac:dyDescent="0.3">
      <c r="A211" t="s">
        <v>38</v>
      </c>
      <c r="B211" s="27" t="s">
        <v>783</v>
      </c>
      <c r="C211" s="107" t="s">
        <v>784</v>
      </c>
      <c r="D211" s="112">
        <v>44868</v>
      </c>
      <c r="E211" s="2" t="s">
        <v>785</v>
      </c>
      <c r="F211" s="2" t="s">
        <v>4882</v>
      </c>
      <c r="G211" s="2" t="s">
        <v>4883</v>
      </c>
      <c r="H211" s="2" t="s">
        <v>786</v>
      </c>
      <c r="I211" s="20">
        <v>20</v>
      </c>
      <c r="J211" s="5">
        <v>1</v>
      </c>
      <c r="K211" s="5">
        <v>40</v>
      </c>
      <c r="L211" s="2" t="s">
        <v>587</v>
      </c>
      <c r="M211" s="95">
        <v>44900</v>
      </c>
      <c r="N211" s="2" t="s">
        <v>787</v>
      </c>
      <c r="O211" s="2" t="s">
        <v>788</v>
      </c>
      <c r="P211" s="2" t="s">
        <v>703</v>
      </c>
      <c r="Q211" s="18" t="s">
        <v>789</v>
      </c>
      <c r="S211" t="s">
        <v>782</v>
      </c>
      <c r="T211" t="s">
        <v>121</v>
      </c>
    </row>
    <row r="212" spans="1:36" x14ac:dyDescent="0.3">
      <c r="A212" t="s">
        <v>38</v>
      </c>
      <c r="B212" s="27" t="s">
        <v>581</v>
      </c>
      <c r="C212" s="107" t="s">
        <v>790</v>
      </c>
      <c r="D212" s="2"/>
      <c r="E212" s="19">
        <v>216716682</v>
      </c>
      <c r="F212" s="2" t="s">
        <v>411</v>
      </c>
      <c r="G212" s="2" t="s">
        <v>4884</v>
      </c>
      <c r="H212" s="16" t="s">
        <v>205</v>
      </c>
      <c r="I212" s="23">
        <v>50</v>
      </c>
      <c r="J212" s="5">
        <v>2</v>
      </c>
      <c r="K212" s="34">
        <v>20</v>
      </c>
      <c r="L212" s="2" t="s">
        <v>546</v>
      </c>
      <c r="M212" s="95">
        <v>44778</v>
      </c>
      <c r="N212" s="2" t="s">
        <v>791</v>
      </c>
      <c r="O212" s="2" t="s">
        <v>724</v>
      </c>
      <c r="P212" s="112">
        <v>44717</v>
      </c>
      <c r="Q212" s="74" t="s">
        <v>789</v>
      </c>
    </row>
    <row r="213" spans="1:36" x14ac:dyDescent="0.3">
      <c r="A213" t="s">
        <v>38</v>
      </c>
      <c r="B213" s="27" t="s">
        <v>478</v>
      </c>
      <c r="C213" s="25" t="s">
        <v>479</v>
      </c>
      <c r="D213" s="85" t="s">
        <v>4832</v>
      </c>
      <c r="E213" s="25" t="s">
        <v>792</v>
      </c>
      <c r="F213" s="84" t="s">
        <v>4885</v>
      </c>
      <c r="G213" s="128" t="s">
        <v>4886</v>
      </c>
      <c r="H213" s="16" t="s">
        <v>205</v>
      </c>
      <c r="I213" s="65">
        <v>102.96</v>
      </c>
      <c r="J213" s="34">
        <v>4</v>
      </c>
      <c r="K213" s="34">
        <v>40</v>
      </c>
      <c r="L213" s="84" t="s">
        <v>586</v>
      </c>
      <c r="M213" s="94">
        <v>44839</v>
      </c>
      <c r="N213" s="25" t="s">
        <v>793</v>
      </c>
      <c r="O213" s="25" t="s">
        <v>724</v>
      </c>
      <c r="P213" s="84" t="s">
        <v>484</v>
      </c>
      <c r="Q213" s="74" t="s">
        <v>794</v>
      </c>
      <c r="S213" t="s">
        <v>795</v>
      </c>
      <c r="U213" t="s">
        <v>796</v>
      </c>
    </row>
    <row r="214" spans="1:36" x14ac:dyDescent="0.3">
      <c r="A214" t="s">
        <v>123</v>
      </c>
      <c r="B214" s="123" t="s">
        <v>384</v>
      </c>
      <c r="C214" s="19" t="s">
        <v>797</v>
      </c>
      <c r="D214" s="2"/>
      <c r="E214" s="19" t="s">
        <v>798</v>
      </c>
      <c r="F214" s="2"/>
      <c r="G214" s="2"/>
      <c r="H214" s="2" t="s">
        <v>386</v>
      </c>
      <c r="I214" s="2">
        <v>54</v>
      </c>
      <c r="J214" s="2"/>
      <c r="K214" s="5">
        <v>2</v>
      </c>
      <c r="L214" s="2"/>
      <c r="M214" s="2" t="s">
        <v>703</v>
      </c>
      <c r="N214" s="2"/>
      <c r="O214" s="2" t="s">
        <v>463</v>
      </c>
      <c r="P214" s="2" t="s">
        <v>799</v>
      </c>
    </row>
    <row r="215" spans="1:36" x14ac:dyDescent="0.3">
      <c r="A215" t="s">
        <v>38</v>
      </c>
      <c r="B215" s="27" t="s">
        <v>700</v>
      </c>
      <c r="C215" s="15" t="s">
        <v>800</v>
      </c>
      <c r="D215" s="2" t="s">
        <v>4887</v>
      </c>
      <c r="E215" s="19">
        <v>216222198</v>
      </c>
      <c r="F215" s="112">
        <v>44837</v>
      </c>
      <c r="G215" s="2" t="s">
        <v>4874</v>
      </c>
      <c r="H215" s="25" t="s">
        <v>87</v>
      </c>
      <c r="I215" s="2">
        <v>548.83799999999997</v>
      </c>
      <c r="J215" s="154">
        <v>24</v>
      </c>
      <c r="K215" s="34">
        <v>20</v>
      </c>
      <c r="L215" s="19" t="s">
        <v>672</v>
      </c>
      <c r="M215" s="112">
        <v>44870</v>
      </c>
      <c r="N215" s="2" t="s">
        <v>801</v>
      </c>
      <c r="O215" s="2" t="s">
        <v>634</v>
      </c>
      <c r="P215" s="2"/>
      <c r="Q215" s="18" t="s">
        <v>802</v>
      </c>
      <c r="U215" t="s">
        <v>803</v>
      </c>
    </row>
    <row r="216" spans="1:36" x14ac:dyDescent="0.3">
      <c r="A216" t="s">
        <v>3916</v>
      </c>
      <c r="B216" s="27" t="s">
        <v>39</v>
      </c>
      <c r="C216" s="63" t="s">
        <v>804</v>
      </c>
      <c r="D216" s="63"/>
      <c r="E216" s="19">
        <v>215420889</v>
      </c>
      <c r="F216" s="19"/>
      <c r="G216" s="129" t="s">
        <v>4863</v>
      </c>
      <c r="H216" s="2" t="s">
        <v>805</v>
      </c>
      <c r="I216" s="140">
        <v>470.15100000000001</v>
      </c>
      <c r="J216" s="2">
        <v>18</v>
      </c>
      <c r="K216" s="2">
        <v>40</v>
      </c>
      <c r="L216" s="64"/>
      <c r="M216" s="95">
        <v>44597</v>
      </c>
      <c r="N216" s="2" t="s">
        <v>703</v>
      </c>
      <c r="O216" s="2" t="s">
        <v>806</v>
      </c>
      <c r="P216" s="112">
        <v>44717</v>
      </c>
      <c r="Q216" s="81" t="s">
        <v>807</v>
      </c>
    </row>
    <row r="217" spans="1:36" x14ac:dyDescent="0.3">
      <c r="A217" t="s">
        <v>123</v>
      </c>
      <c r="B217" s="151" t="s">
        <v>166</v>
      </c>
      <c r="C217" s="19" t="s">
        <v>808</v>
      </c>
      <c r="D217" s="2" t="s">
        <v>4888</v>
      </c>
      <c r="E217" s="2" t="s">
        <v>4889</v>
      </c>
      <c r="F217" s="2"/>
      <c r="G217" s="125"/>
      <c r="H217" s="115" t="s">
        <v>810</v>
      </c>
      <c r="I217" s="100">
        <v>56</v>
      </c>
      <c r="J217" s="2"/>
      <c r="K217" s="5">
        <v>2</v>
      </c>
      <c r="L217" s="5"/>
      <c r="M217" s="2" t="s">
        <v>793</v>
      </c>
      <c r="N217" s="2"/>
      <c r="O217" s="2" t="s">
        <v>121</v>
      </c>
      <c r="P217" s="2" t="s">
        <v>787</v>
      </c>
      <c r="Q217" s="18" t="s">
        <v>811</v>
      </c>
    </row>
    <row r="218" spans="1:36" x14ac:dyDescent="0.3">
      <c r="A218" t="s">
        <v>123</v>
      </c>
      <c r="B218" s="135" t="s">
        <v>812</v>
      </c>
      <c r="C218" s="19" t="s">
        <v>813</v>
      </c>
      <c r="D218" s="2"/>
      <c r="E218" s="25" t="s">
        <v>814</v>
      </c>
      <c r="F218" s="25"/>
      <c r="G218" s="25"/>
      <c r="H218" s="67" t="s">
        <v>815</v>
      </c>
      <c r="I218" s="25">
        <v>24.75</v>
      </c>
      <c r="J218" s="2"/>
      <c r="K218" s="5">
        <v>1</v>
      </c>
      <c r="L218" s="2"/>
      <c r="M218" s="112" t="s">
        <v>816</v>
      </c>
      <c r="N218" s="2" t="s">
        <v>817</v>
      </c>
      <c r="O218" s="2" t="s">
        <v>28</v>
      </c>
      <c r="P218" s="2" t="s">
        <v>818</v>
      </c>
      <c r="Q218" s="18" t="s">
        <v>811</v>
      </c>
    </row>
    <row r="219" spans="1:36" x14ac:dyDescent="0.3">
      <c r="A219" t="s">
        <v>60</v>
      </c>
      <c r="B219" s="2" t="s">
        <v>819</v>
      </c>
      <c r="C219" s="4" t="s">
        <v>820</v>
      </c>
      <c r="D219" s="2" t="s">
        <v>4890</v>
      </c>
      <c r="E219" s="2" t="s">
        <v>4891</v>
      </c>
      <c r="F219" s="2"/>
      <c r="G219" s="2"/>
      <c r="H219" s="2" t="s">
        <v>822</v>
      </c>
      <c r="I219" s="2" t="s">
        <v>823</v>
      </c>
      <c r="J219" s="2"/>
      <c r="K219" s="2"/>
      <c r="L219" s="2"/>
      <c r="M219" s="112">
        <v>44839</v>
      </c>
      <c r="N219" s="2"/>
      <c r="O219" s="25" t="s">
        <v>121</v>
      </c>
      <c r="P219" s="2"/>
      <c r="Q219" s="74" t="s">
        <v>824</v>
      </c>
    </row>
    <row r="220" spans="1:36" x14ac:dyDescent="0.3">
      <c r="A220" t="s">
        <v>38</v>
      </c>
      <c r="B220" s="25" t="s">
        <v>825</v>
      </c>
      <c r="C220" s="25" t="s">
        <v>826</v>
      </c>
      <c r="D220" s="2" t="s">
        <v>617</v>
      </c>
      <c r="E220" s="2" t="s">
        <v>4892</v>
      </c>
      <c r="F220" s="112">
        <v>44870</v>
      </c>
      <c r="G220" s="2" t="s">
        <v>4893</v>
      </c>
      <c r="H220" s="2" t="s">
        <v>828</v>
      </c>
      <c r="I220" s="2">
        <v>10</v>
      </c>
      <c r="J220" s="5">
        <v>1</v>
      </c>
      <c r="K220" s="2"/>
      <c r="L220" s="2"/>
      <c r="M220" s="25" t="s">
        <v>791</v>
      </c>
      <c r="N220" s="2"/>
      <c r="O220" s="2" t="s">
        <v>121</v>
      </c>
      <c r="P220" s="2" t="s">
        <v>787</v>
      </c>
      <c r="Q220" s="74" t="s">
        <v>829</v>
      </c>
    </row>
    <row r="221" spans="1:36" x14ac:dyDescent="0.3">
      <c r="A221" t="s">
        <v>38</v>
      </c>
      <c r="B221" s="27" t="s">
        <v>700</v>
      </c>
      <c r="C221" s="20" t="s">
        <v>830</v>
      </c>
      <c r="D221" s="112">
        <v>44595</v>
      </c>
      <c r="E221" s="19">
        <v>216222219</v>
      </c>
      <c r="F221" s="112">
        <v>44837</v>
      </c>
      <c r="G221" s="2" t="s">
        <v>4874</v>
      </c>
      <c r="H221" s="25" t="s">
        <v>87</v>
      </c>
      <c r="I221" s="111">
        <v>1062.4670000000001</v>
      </c>
      <c r="J221" s="5">
        <v>46</v>
      </c>
      <c r="K221" s="34">
        <v>20</v>
      </c>
      <c r="L221" s="2" t="s">
        <v>672</v>
      </c>
      <c r="M221" s="112">
        <v>44900</v>
      </c>
      <c r="N221" s="44" t="s">
        <v>831</v>
      </c>
      <c r="O221" s="2" t="s">
        <v>634</v>
      </c>
      <c r="P221" s="2" t="s">
        <v>697</v>
      </c>
      <c r="Q221" s="18" t="s">
        <v>832</v>
      </c>
      <c r="R221" s="137"/>
      <c r="AA221" t="s">
        <v>833</v>
      </c>
    </row>
    <row r="222" spans="1:36" ht="15.6" x14ac:dyDescent="0.3">
      <c r="A222" t="s">
        <v>60</v>
      </c>
      <c r="B222" s="75" t="s">
        <v>39</v>
      </c>
      <c r="C222" s="73" t="s">
        <v>530</v>
      </c>
      <c r="D222" s="73" t="s">
        <v>4894</v>
      </c>
      <c r="E222" s="15" t="s">
        <v>834</v>
      </c>
      <c r="F222" s="15" t="s">
        <v>4895</v>
      </c>
      <c r="G222" s="129" t="s">
        <v>4863</v>
      </c>
      <c r="H222" s="7" t="s">
        <v>42</v>
      </c>
      <c r="I222" s="57">
        <v>181.80099999999999</v>
      </c>
      <c r="J222" s="2">
        <v>7</v>
      </c>
      <c r="K222" s="2">
        <v>40</v>
      </c>
      <c r="L222" s="5"/>
      <c r="M222" s="96">
        <v>44778</v>
      </c>
      <c r="N222" s="25" t="s">
        <v>801</v>
      </c>
      <c r="O222" s="25" t="s">
        <v>835</v>
      </c>
      <c r="P222" s="2" t="s">
        <v>586</v>
      </c>
      <c r="Q222" t="s">
        <v>836</v>
      </c>
      <c r="W222" t="s">
        <v>837</v>
      </c>
    </row>
    <row r="223" spans="1:36" ht="57.6" x14ac:dyDescent="0.3">
      <c r="A223" t="s">
        <v>60</v>
      </c>
      <c r="B223" s="75" t="s">
        <v>39</v>
      </c>
      <c r="C223" s="20" t="s">
        <v>838</v>
      </c>
      <c r="D223" s="112">
        <v>44207</v>
      </c>
      <c r="E223" s="4">
        <v>216968297</v>
      </c>
      <c r="F223" s="25" t="s">
        <v>4896</v>
      </c>
      <c r="G223" s="136" t="s">
        <v>4863</v>
      </c>
      <c r="H223" s="7" t="s">
        <v>42</v>
      </c>
      <c r="I223" s="2">
        <v>364.435</v>
      </c>
      <c r="J223" s="2">
        <v>14</v>
      </c>
      <c r="K223" s="44">
        <v>40</v>
      </c>
      <c r="L223" s="44" t="s">
        <v>628</v>
      </c>
      <c r="M223" s="20" t="s">
        <v>839</v>
      </c>
      <c r="N223" s="2" t="s">
        <v>831</v>
      </c>
      <c r="O223" s="24" t="s">
        <v>840</v>
      </c>
      <c r="P223" s="2" t="s">
        <v>841</v>
      </c>
      <c r="Q223" t="s">
        <v>842</v>
      </c>
      <c r="AF223" t="s">
        <v>843</v>
      </c>
      <c r="AJ223" t="s">
        <v>833</v>
      </c>
    </row>
    <row r="224" spans="1:36" x14ac:dyDescent="0.3">
      <c r="A224" t="s">
        <v>1438</v>
      </c>
      <c r="B224" s="27" t="s">
        <v>39</v>
      </c>
      <c r="C224" s="2" t="s">
        <v>844</v>
      </c>
      <c r="D224" s="2" t="s">
        <v>4897</v>
      </c>
      <c r="E224" s="19">
        <v>216968344</v>
      </c>
      <c r="F224" s="19" t="s">
        <v>4898</v>
      </c>
      <c r="G224" s="129" t="s">
        <v>4863</v>
      </c>
      <c r="H224" s="7" t="s">
        <v>42</v>
      </c>
      <c r="I224" s="2">
        <v>468.68900000000002</v>
      </c>
      <c r="J224" s="2">
        <v>18</v>
      </c>
      <c r="K224" s="2">
        <v>40</v>
      </c>
      <c r="L224" s="2" t="s">
        <v>697</v>
      </c>
      <c r="M224" s="2" t="s">
        <v>845</v>
      </c>
      <c r="N224" s="2" t="s">
        <v>846</v>
      </c>
      <c r="O224" s="2" t="s">
        <v>634</v>
      </c>
      <c r="P224" s="112">
        <v>44778</v>
      </c>
      <c r="Q224" s="81" t="s">
        <v>847</v>
      </c>
      <c r="R224" s="137"/>
      <c r="S224" t="s">
        <v>848</v>
      </c>
    </row>
    <row r="225" spans="1:28" ht="27.6" x14ac:dyDescent="0.3">
      <c r="A225" t="s">
        <v>38</v>
      </c>
      <c r="B225" s="152" t="s">
        <v>130</v>
      </c>
      <c r="C225" s="15" t="s">
        <v>453</v>
      </c>
      <c r="D225" s="86" t="s">
        <v>4829</v>
      </c>
      <c r="E225" s="127" t="s">
        <v>849</v>
      </c>
      <c r="F225" s="84" t="s">
        <v>4899</v>
      </c>
      <c r="G225" s="126" t="s">
        <v>4307</v>
      </c>
      <c r="H225" s="20" t="s">
        <v>87</v>
      </c>
      <c r="I225" s="20">
        <v>300.75099999999998</v>
      </c>
      <c r="J225" s="34">
        <v>12</v>
      </c>
      <c r="K225" s="34">
        <v>20</v>
      </c>
      <c r="L225" s="87" t="s">
        <v>628</v>
      </c>
      <c r="M225" s="94" t="s">
        <v>850</v>
      </c>
      <c r="N225" s="25" t="s">
        <v>817</v>
      </c>
      <c r="O225" s="20" t="s">
        <v>634</v>
      </c>
      <c r="P225" s="84" t="s">
        <v>474</v>
      </c>
      <c r="Q225" t="s">
        <v>851</v>
      </c>
      <c r="S225" s="159" t="s">
        <v>852</v>
      </c>
    </row>
    <row r="226" spans="1:28" ht="15.6" x14ac:dyDescent="0.3">
      <c r="B226" s="75" t="s">
        <v>39</v>
      </c>
      <c r="C226" s="20" t="s">
        <v>838</v>
      </c>
      <c r="D226" s="2"/>
      <c r="E226" s="26" t="s">
        <v>853</v>
      </c>
      <c r="F226" s="2" t="s">
        <v>4448</v>
      </c>
      <c r="G226" s="129" t="s">
        <v>4863</v>
      </c>
      <c r="H226" s="7" t="s">
        <v>42</v>
      </c>
      <c r="I226" s="57">
        <v>103.991</v>
      </c>
      <c r="J226" s="2">
        <v>4</v>
      </c>
      <c r="K226" s="2">
        <v>40</v>
      </c>
      <c r="L226" s="112">
        <v>44656</v>
      </c>
      <c r="M226" s="61" t="s">
        <v>779</v>
      </c>
      <c r="N226" s="97">
        <v>44687</v>
      </c>
      <c r="O226" s="25" t="s">
        <v>854</v>
      </c>
      <c r="P226" s="2" t="s">
        <v>855</v>
      </c>
      <c r="Q226" t="s">
        <v>856</v>
      </c>
    </row>
    <row r="227" spans="1:28" x14ac:dyDescent="0.3">
      <c r="B227" s="36" t="s">
        <v>857</v>
      </c>
      <c r="C227" s="25" t="s">
        <v>858</v>
      </c>
      <c r="D227" s="25" t="s">
        <v>4857</v>
      </c>
      <c r="E227" s="25" t="s">
        <v>859</v>
      </c>
      <c r="F227" s="25" t="s">
        <v>200</v>
      </c>
      <c r="G227" s="25" t="s">
        <v>3615</v>
      </c>
      <c r="H227" s="25" t="s">
        <v>860</v>
      </c>
      <c r="I227" s="65">
        <v>211.51</v>
      </c>
      <c r="J227" s="34">
        <v>10</v>
      </c>
      <c r="K227" s="34">
        <v>20</v>
      </c>
      <c r="L227" s="34"/>
      <c r="M227" s="94" t="s">
        <v>861</v>
      </c>
      <c r="N227" s="97">
        <v>44687</v>
      </c>
      <c r="O227" s="25" t="s">
        <v>862</v>
      </c>
      <c r="P227" s="25" t="s">
        <v>688</v>
      </c>
      <c r="Q227" s="76" t="s">
        <v>863</v>
      </c>
      <c r="R227" s="76"/>
    </row>
    <row r="228" spans="1:28" x14ac:dyDescent="0.3">
      <c r="B228" s="25" t="s">
        <v>864</v>
      </c>
      <c r="C228" s="2"/>
      <c r="D228" s="2"/>
      <c r="E228" s="2"/>
      <c r="F228" s="2"/>
      <c r="G228" s="2"/>
      <c r="H228" s="2" t="s">
        <v>865</v>
      </c>
      <c r="I228" s="2">
        <v>33</v>
      </c>
      <c r="J228" s="2"/>
      <c r="K228" s="2"/>
      <c r="L228" s="2"/>
      <c r="M228" s="25" t="s">
        <v>866</v>
      </c>
      <c r="N228" s="2"/>
      <c r="O228" s="2" t="s">
        <v>212</v>
      </c>
      <c r="P228" s="2"/>
      <c r="Q228" t="s">
        <v>867</v>
      </c>
    </row>
    <row r="229" spans="1:28" x14ac:dyDescent="0.3">
      <c r="B229" s="36" t="s">
        <v>857</v>
      </c>
      <c r="C229" s="25" t="s">
        <v>868</v>
      </c>
      <c r="D229" s="4" t="s">
        <v>4448</v>
      </c>
      <c r="E229" s="25" t="s">
        <v>869</v>
      </c>
      <c r="F229" s="25" t="s">
        <v>4900</v>
      </c>
      <c r="G229" s="25" t="s">
        <v>3615</v>
      </c>
      <c r="H229" s="25" t="s">
        <v>860</v>
      </c>
      <c r="I229" s="20">
        <v>207.63</v>
      </c>
      <c r="J229" s="5">
        <v>10</v>
      </c>
      <c r="K229" s="34">
        <v>20</v>
      </c>
      <c r="L229" s="5"/>
      <c r="M229" s="95" t="s">
        <v>861</v>
      </c>
      <c r="N229" s="112">
        <v>44687</v>
      </c>
      <c r="O229" s="2" t="s">
        <v>870</v>
      </c>
      <c r="P229" s="95">
        <v>44809</v>
      </c>
      <c r="Q229" t="s">
        <v>871</v>
      </c>
      <c r="S229" t="s">
        <v>872</v>
      </c>
    </row>
    <row r="230" spans="1:28" x14ac:dyDescent="0.3">
      <c r="B230" s="27" t="s">
        <v>652</v>
      </c>
      <c r="C230" s="2" t="s">
        <v>873</v>
      </c>
      <c r="D230" s="85" t="s">
        <v>4844</v>
      </c>
      <c r="E230" s="25" t="s">
        <v>874</v>
      </c>
      <c r="F230" s="84" t="s">
        <v>4862</v>
      </c>
      <c r="G230" s="131" t="s">
        <v>4901</v>
      </c>
      <c r="H230" s="20" t="s">
        <v>87</v>
      </c>
      <c r="I230" s="20">
        <v>212.964</v>
      </c>
      <c r="J230" s="34">
        <v>10</v>
      </c>
      <c r="K230" s="34">
        <v>20</v>
      </c>
      <c r="L230" s="87" t="s">
        <v>875</v>
      </c>
      <c r="M230" s="94" t="s">
        <v>876</v>
      </c>
      <c r="N230" s="97">
        <v>44840</v>
      </c>
      <c r="O230" s="25" t="s">
        <v>516</v>
      </c>
      <c r="P230" s="84" t="s">
        <v>477</v>
      </c>
      <c r="Q230" t="s">
        <v>877</v>
      </c>
      <c r="S230" t="s">
        <v>878</v>
      </c>
      <c r="U230" t="s">
        <v>879</v>
      </c>
    </row>
    <row r="231" spans="1:28" x14ac:dyDescent="0.3">
      <c r="B231" s="27" t="s">
        <v>700</v>
      </c>
      <c r="C231" s="15" t="s">
        <v>800</v>
      </c>
      <c r="D231" s="2" t="s">
        <v>4887</v>
      </c>
      <c r="E231" s="19">
        <v>216634975</v>
      </c>
      <c r="F231" s="2" t="s">
        <v>545</v>
      </c>
      <c r="G231" s="2" t="s">
        <v>4874</v>
      </c>
      <c r="H231" s="25" t="s">
        <v>87</v>
      </c>
      <c r="I231" s="2">
        <v>112.646</v>
      </c>
      <c r="J231" s="5">
        <v>5</v>
      </c>
      <c r="K231" s="34">
        <v>20</v>
      </c>
      <c r="L231" s="95">
        <v>44656</v>
      </c>
      <c r="M231" s="2" t="s">
        <v>846</v>
      </c>
      <c r="N231" s="112">
        <v>44871</v>
      </c>
      <c r="O231" s="2" t="s">
        <v>516</v>
      </c>
      <c r="P231" s="2" t="s">
        <v>697</v>
      </c>
      <c r="Q231" s="138">
        <v>44598</v>
      </c>
      <c r="R231" s="18" t="s">
        <v>880</v>
      </c>
      <c r="T231" t="s">
        <v>881</v>
      </c>
    </row>
    <row r="232" spans="1:28" x14ac:dyDescent="0.3">
      <c r="B232" s="27" t="s">
        <v>700</v>
      </c>
      <c r="C232" s="15" t="s">
        <v>800</v>
      </c>
      <c r="D232" s="2" t="s">
        <v>4887</v>
      </c>
      <c r="E232" s="15" t="s">
        <v>882</v>
      </c>
      <c r="F232" s="2" t="s">
        <v>4887</v>
      </c>
      <c r="G232" s="2" t="s">
        <v>4874</v>
      </c>
      <c r="H232" s="25" t="s">
        <v>87</v>
      </c>
      <c r="I232" s="20">
        <v>432.64499999999998</v>
      </c>
      <c r="J232" s="5">
        <v>19</v>
      </c>
      <c r="K232" s="34">
        <v>20</v>
      </c>
      <c r="L232" s="95">
        <v>44686</v>
      </c>
      <c r="M232" s="2" t="s">
        <v>779</v>
      </c>
      <c r="N232" s="112">
        <v>44687</v>
      </c>
      <c r="O232" s="2" t="s">
        <v>883</v>
      </c>
      <c r="P232" s="2"/>
      <c r="Q232" s="74" t="s">
        <v>884</v>
      </c>
      <c r="R232" s="74"/>
      <c r="T232" t="s">
        <v>885</v>
      </c>
      <c r="W232" t="s">
        <v>886</v>
      </c>
      <c r="AB232" t="s">
        <v>887</v>
      </c>
    </row>
    <row r="233" spans="1:28" ht="15.6" x14ac:dyDescent="0.3">
      <c r="B233" s="22" t="s">
        <v>39</v>
      </c>
      <c r="C233" s="20" t="s">
        <v>888</v>
      </c>
      <c r="D233" s="20"/>
      <c r="E233" s="4">
        <v>216355436</v>
      </c>
      <c r="F233" s="25" t="s">
        <v>4902</v>
      </c>
      <c r="G233" s="129" t="s">
        <v>4863</v>
      </c>
      <c r="H233" s="7" t="s">
        <v>42</v>
      </c>
      <c r="I233" s="57">
        <v>442.29899999999998</v>
      </c>
      <c r="J233" s="25">
        <v>17</v>
      </c>
      <c r="K233" s="25">
        <v>40</v>
      </c>
      <c r="L233" s="34"/>
      <c r="M233" s="20" t="s">
        <v>846</v>
      </c>
      <c r="N233" s="97">
        <v>44871</v>
      </c>
      <c r="O233" s="25" t="s">
        <v>889</v>
      </c>
      <c r="P233" s="2"/>
      <c r="Q233" t="s">
        <v>890</v>
      </c>
    </row>
    <row r="234" spans="1:28" x14ac:dyDescent="0.3">
      <c r="B234" s="25" t="s">
        <v>891</v>
      </c>
      <c r="C234" s="2"/>
      <c r="D234" s="2"/>
      <c r="E234" s="2" t="s">
        <v>4903</v>
      </c>
      <c r="F234" s="112">
        <v>44717</v>
      </c>
      <c r="G234" s="2" t="s">
        <v>4904</v>
      </c>
      <c r="H234" s="2" t="s">
        <v>893</v>
      </c>
      <c r="I234" s="2">
        <v>5</v>
      </c>
      <c r="J234" s="2"/>
      <c r="K234" s="2"/>
      <c r="L234" s="2"/>
      <c r="M234" s="2" t="s">
        <v>793</v>
      </c>
      <c r="N234" s="2"/>
      <c r="O234" s="2" t="s">
        <v>121</v>
      </c>
      <c r="P234" s="95">
        <v>44870</v>
      </c>
      <c r="Q234" t="s">
        <v>894</v>
      </c>
    </row>
    <row r="235" spans="1:28" x14ac:dyDescent="0.3">
      <c r="B235" s="2" t="s">
        <v>895</v>
      </c>
      <c r="C235" s="4" t="s">
        <v>896</v>
      </c>
      <c r="D235" s="112">
        <v>44809</v>
      </c>
      <c r="E235" s="2" t="s">
        <v>4905</v>
      </c>
      <c r="F235" s="2" t="s">
        <v>931</v>
      </c>
      <c r="G235" s="2" t="s">
        <v>1296</v>
      </c>
      <c r="H235" s="7" t="s">
        <v>898</v>
      </c>
      <c r="I235" s="2">
        <v>4</v>
      </c>
      <c r="J235" s="2"/>
      <c r="K235" s="2"/>
      <c r="L235" s="2"/>
      <c r="M235" s="2" t="s">
        <v>831</v>
      </c>
      <c r="N235" s="2"/>
      <c r="O235" s="25" t="s">
        <v>28</v>
      </c>
      <c r="P235" s="2"/>
      <c r="Q235" t="s">
        <v>899</v>
      </c>
    </row>
    <row r="236" spans="1:28" x14ac:dyDescent="0.3">
      <c r="B236" s="36" t="s">
        <v>900</v>
      </c>
      <c r="C236" s="20" t="s">
        <v>901</v>
      </c>
      <c r="D236" s="2"/>
      <c r="E236" s="3" t="s">
        <v>902</v>
      </c>
      <c r="F236" s="2" t="s">
        <v>553</v>
      </c>
      <c r="G236" s="2" t="s">
        <v>4906</v>
      </c>
      <c r="H236" s="25" t="s">
        <v>903</v>
      </c>
      <c r="I236" s="20">
        <v>20</v>
      </c>
      <c r="J236" s="5">
        <v>1</v>
      </c>
      <c r="K236" s="34">
        <v>20</v>
      </c>
      <c r="L236" s="2" t="s">
        <v>546</v>
      </c>
      <c r="M236" s="25" t="s">
        <v>791</v>
      </c>
      <c r="N236" s="112">
        <v>44626</v>
      </c>
      <c r="O236" s="2" t="s">
        <v>904</v>
      </c>
      <c r="P236" s="112">
        <v>44598</v>
      </c>
      <c r="Q236" s="18" t="s">
        <v>905</v>
      </c>
      <c r="R236" t="s">
        <v>906</v>
      </c>
    </row>
    <row r="237" spans="1:28" x14ac:dyDescent="0.3">
      <c r="B237" s="2" t="s">
        <v>642</v>
      </c>
      <c r="C237" s="2" t="s">
        <v>907</v>
      </c>
      <c r="D237" s="2"/>
      <c r="E237" s="2" t="s">
        <v>4907</v>
      </c>
      <c r="F237" s="2"/>
      <c r="G237" s="2" t="s">
        <v>4908</v>
      </c>
      <c r="H237" s="25" t="s">
        <v>127</v>
      </c>
      <c r="I237" s="25">
        <v>30</v>
      </c>
      <c r="J237" s="2"/>
      <c r="K237" s="5">
        <v>1</v>
      </c>
      <c r="L237" s="2"/>
      <c r="M237" s="2" t="s">
        <v>866</v>
      </c>
      <c r="N237" s="2"/>
      <c r="O237" s="2" t="s">
        <v>121</v>
      </c>
      <c r="P237" s="2"/>
      <c r="Q237" t="s">
        <v>908</v>
      </c>
    </row>
    <row r="238" spans="1:28" x14ac:dyDescent="0.3">
      <c r="B238" s="27" t="s">
        <v>39</v>
      </c>
      <c r="C238" s="20" t="s">
        <v>909</v>
      </c>
      <c r="D238" s="2" t="s">
        <v>4909</v>
      </c>
      <c r="E238" s="164" t="s">
        <v>910</v>
      </c>
      <c r="F238" s="2" t="s">
        <v>4910</v>
      </c>
      <c r="G238" s="129" t="s">
        <v>4863</v>
      </c>
      <c r="H238" s="7" t="s">
        <v>42</v>
      </c>
      <c r="I238" s="56">
        <v>442.71499999999997</v>
      </c>
      <c r="J238" s="112">
        <v>44656</v>
      </c>
      <c r="K238" s="2">
        <v>17</v>
      </c>
      <c r="L238" s="2">
        <v>40</v>
      </c>
      <c r="M238" s="2" t="s">
        <v>866</v>
      </c>
      <c r="N238" s="148">
        <v>44779</v>
      </c>
      <c r="O238" s="2" t="s">
        <v>634</v>
      </c>
      <c r="P238" s="2" t="s">
        <v>831</v>
      </c>
      <c r="Q238" t="s">
        <v>911</v>
      </c>
    </row>
    <row r="239" spans="1:28" x14ac:dyDescent="0.3">
      <c r="B239" s="144" t="s">
        <v>652</v>
      </c>
      <c r="C239" s="2" t="s">
        <v>912</v>
      </c>
      <c r="D239" s="25" t="s">
        <v>971</v>
      </c>
      <c r="E239" s="27" t="s">
        <v>913</v>
      </c>
      <c r="F239" s="94">
        <v>44807</v>
      </c>
      <c r="G239" s="25" t="s">
        <v>3615</v>
      </c>
      <c r="H239" s="20" t="s">
        <v>87</v>
      </c>
      <c r="I239" s="20">
        <v>120.15</v>
      </c>
      <c r="J239" s="34">
        <v>5</v>
      </c>
      <c r="K239" s="34">
        <v>20</v>
      </c>
      <c r="L239" s="84">
        <v>44625</v>
      </c>
      <c r="M239" s="94" t="s">
        <v>876</v>
      </c>
      <c r="N239" s="97">
        <v>44871</v>
      </c>
      <c r="O239" s="25" t="s">
        <v>914</v>
      </c>
      <c r="P239" s="84" t="s">
        <v>696</v>
      </c>
      <c r="Q239" s="137" t="s">
        <v>915</v>
      </c>
    </row>
    <row r="240" spans="1:28" x14ac:dyDescent="0.3">
      <c r="B240" s="20" t="s">
        <v>240</v>
      </c>
      <c r="C240" s="6" t="s">
        <v>550</v>
      </c>
      <c r="D240" s="6"/>
      <c r="E240" s="20"/>
      <c r="F240" s="20"/>
      <c r="G240" s="20"/>
      <c r="H240" s="20" t="s">
        <v>106</v>
      </c>
      <c r="I240" s="8">
        <v>32</v>
      </c>
      <c r="J240" s="2"/>
      <c r="K240" s="2"/>
      <c r="L240" s="5"/>
      <c r="M240" s="20"/>
      <c r="N240" s="25">
        <v>14</v>
      </c>
      <c r="O240" s="25" t="s">
        <v>212</v>
      </c>
      <c r="P240" s="2"/>
      <c r="Q240" t="s">
        <v>916</v>
      </c>
    </row>
    <row r="241" spans="2:28" x14ac:dyDescent="0.3">
      <c r="B241" s="27" t="s">
        <v>39</v>
      </c>
      <c r="C241" s="4" t="s">
        <v>917</v>
      </c>
      <c r="D241" s="2"/>
      <c r="E241" s="26" t="s">
        <v>918</v>
      </c>
      <c r="F241" s="2" t="s">
        <v>4911</v>
      </c>
      <c r="G241" s="129" t="s">
        <v>4863</v>
      </c>
      <c r="H241" s="7" t="s">
        <v>42</v>
      </c>
      <c r="I241" s="57">
        <v>467.55500000000001</v>
      </c>
      <c r="J241" s="2">
        <v>18</v>
      </c>
      <c r="K241" s="2">
        <v>40</v>
      </c>
      <c r="L241" s="112">
        <v>44656</v>
      </c>
      <c r="M241" s="61" t="s">
        <v>919</v>
      </c>
      <c r="N241" s="97">
        <v>44779</v>
      </c>
      <c r="O241" s="25" t="s">
        <v>920</v>
      </c>
      <c r="P241" s="157" t="s">
        <v>921</v>
      </c>
      <c r="Q241" t="s">
        <v>922</v>
      </c>
    </row>
    <row r="242" spans="2:28" x14ac:dyDescent="0.3">
      <c r="B242" s="27" t="s">
        <v>700</v>
      </c>
      <c r="C242" s="15" t="s">
        <v>923</v>
      </c>
      <c r="D242" s="95">
        <v>44837</v>
      </c>
      <c r="E242" s="19">
        <v>216634965</v>
      </c>
      <c r="F242" s="2" t="s">
        <v>971</v>
      </c>
      <c r="G242" s="2" t="s">
        <v>4874</v>
      </c>
      <c r="H242" s="25" t="s">
        <v>87</v>
      </c>
      <c r="I242" s="20">
        <v>1420.856</v>
      </c>
      <c r="J242" s="5">
        <v>62</v>
      </c>
      <c r="K242" s="34">
        <v>20</v>
      </c>
      <c r="L242" s="95">
        <v>44656</v>
      </c>
      <c r="M242" s="2" t="s">
        <v>924</v>
      </c>
      <c r="N242" s="112">
        <v>44840</v>
      </c>
      <c r="O242" s="2" t="s">
        <v>925</v>
      </c>
      <c r="P242" s="2" t="s">
        <v>697</v>
      </c>
      <c r="Q242" s="18" t="s">
        <v>926</v>
      </c>
      <c r="AB242" t="s">
        <v>927</v>
      </c>
    </row>
    <row r="243" spans="2:28" x14ac:dyDescent="0.3">
      <c r="B243" s="27" t="s">
        <v>652</v>
      </c>
      <c r="C243" s="25" t="s">
        <v>928</v>
      </c>
      <c r="D243" s="95">
        <v>44899</v>
      </c>
      <c r="E243" s="15" t="s">
        <v>929</v>
      </c>
      <c r="F243" s="15" t="s">
        <v>4890</v>
      </c>
      <c r="G243" s="25" t="s">
        <v>3615</v>
      </c>
      <c r="H243" s="20" t="s">
        <v>87</v>
      </c>
      <c r="I243" s="20">
        <v>721.88</v>
      </c>
      <c r="J243" s="5">
        <v>30</v>
      </c>
      <c r="K243" s="34">
        <v>20</v>
      </c>
      <c r="L243" s="95">
        <v>44900</v>
      </c>
      <c r="M243" s="19" t="s">
        <v>924</v>
      </c>
      <c r="N243" s="112">
        <v>44840</v>
      </c>
      <c r="O243" s="2" t="s">
        <v>930</v>
      </c>
      <c r="P243" s="2" t="s">
        <v>931</v>
      </c>
      <c r="Q243" s="18" t="s">
        <v>932</v>
      </c>
      <c r="R243" s="18"/>
      <c r="T243" s="18" t="s">
        <v>933</v>
      </c>
    </row>
    <row r="244" spans="2:28" x14ac:dyDescent="0.3">
      <c r="B244" s="27" t="s">
        <v>934</v>
      </c>
      <c r="C244" s="25" t="s">
        <v>935</v>
      </c>
      <c r="D244" s="112">
        <v>44595</v>
      </c>
      <c r="E244" s="20" t="s">
        <v>4912</v>
      </c>
      <c r="F244" s="2" t="s">
        <v>591</v>
      </c>
      <c r="G244" s="2" t="s">
        <v>4364</v>
      </c>
      <c r="H244" s="16" t="s">
        <v>205</v>
      </c>
      <c r="I244" s="23">
        <v>24</v>
      </c>
      <c r="J244" s="5">
        <v>1</v>
      </c>
      <c r="K244" s="5">
        <v>20</v>
      </c>
      <c r="L244" s="112" t="s">
        <v>937</v>
      </c>
      <c r="M244" s="2" t="s">
        <v>938</v>
      </c>
      <c r="N244" s="156">
        <v>44871</v>
      </c>
      <c r="O244" s="25" t="s">
        <v>121</v>
      </c>
      <c r="P244" s="112" t="s">
        <v>939</v>
      </c>
      <c r="Q244" t="s">
        <v>940</v>
      </c>
      <c r="T244" s="167" t="s">
        <v>941</v>
      </c>
      <c r="U244" t="s">
        <v>942</v>
      </c>
    </row>
    <row r="245" spans="2:28" x14ac:dyDescent="0.3">
      <c r="B245" s="99" t="s">
        <v>39</v>
      </c>
      <c r="C245" s="104" t="s">
        <v>909</v>
      </c>
      <c r="D245" s="125" t="s">
        <v>4909</v>
      </c>
      <c r="E245" s="170" t="s">
        <v>943</v>
      </c>
      <c r="F245" s="125" t="s">
        <v>560</v>
      </c>
      <c r="G245" s="145" t="s">
        <v>4863</v>
      </c>
      <c r="H245" s="146" t="s">
        <v>42</v>
      </c>
      <c r="I245" s="147">
        <v>52.182000000000002</v>
      </c>
      <c r="J245" s="148">
        <v>44567</v>
      </c>
      <c r="K245" s="125">
        <v>2</v>
      </c>
      <c r="L245" s="125">
        <v>40</v>
      </c>
      <c r="M245" s="148">
        <v>44779</v>
      </c>
      <c r="N245" s="125" t="s">
        <v>944</v>
      </c>
      <c r="O245" s="125" t="s">
        <v>121</v>
      </c>
      <c r="P245" s="166">
        <v>44779</v>
      </c>
      <c r="Q245" t="s">
        <v>945</v>
      </c>
      <c r="R245" s="158"/>
    </row>
    <row r="246" spans="2:28" ht="15.6" x14ac:dyDescent="0.3">
      <c r="B246" s="99" t="s">
        <v>946</v>
      </c>
      <c r="C246" s="161" t="s">
        <v>947</v>
      </c>
      <c r="D246" s="161"/>
      <c r="E246" s="162">
        <v>216978831</v>
      </c>
      <c r="F246" s="162"/>
      <c r="G246" s="160" t="s">
        <v>4913</v>
      </c>
      <c r="H246" s="100" t="s">
        <v>24</v>
      </c>
      <c r="I246" s="100">
        <v>17.5</v>
      </c>
      <c r="J246" s="100"/>
      <c r="K246" s="163">
        <v>1</v>
      </c>
      <c r="L246" s="163">
        <v>20</v>
      </c>
      <c r="M246" s="166">
        <v>44840</v>
      </c>
      <c r="N246" s="148" t="s">
        <v>948</v>
      </c>
      <c r="O246" s="125" t="s">
        <v>949</v>
      </c>
      <c r="P246" s="125"/>
      <c r="Q246" t="s">
        <v>950</v>
      </c>
      <c r="S246" t="s">
        <v>951</v>
      </c>
    </row>
    <row r="247" spans="2:28" x14ac:dyDescent="0.3">
      <c r="B247" s="27" t="s">
        <v>130</v>
      </c>
      <c r="C247" s="15" t="s">
        <v>316</v>
      </c>
      <c r="D247" s="86" t="s">
        <v>4914</v>
      </c>
      <c r="E247" s="15" t="s">
        <v>317</v>
      </c>
      <c r="F247" s="84" t="s">
        <v>4837</v>
      </c>
      <c r="G247" s="84" t="s">
        <v>4915</v>
      </c>
      <c r="H247" s="25" t="s">
        <v>87</v>
      </c>
      <c r="I247" s="20">
        <v>104</v>
      </c>
      <c r="J247" s="34">
        <v>4</v>
      </c>
      <c r="K247" s="34">
        <v>20</v>
      </c>
      <c r="L247" s="93" t="s">
        <v>952</v>
      </c>
      <c r="M247" s="94">
        <v>44840</v>
      </c>
      <c r="N247" s="9" t="s">
        <v>948</v>
      </c>
      <c r="O247" s="20" t="s">
        <v>953</v>
      </c>
      <c r="P247" s="84" t="s">
        <v>954</v>
      </c>
      <c r="Q247" s="80" t="s">
        <v>955</v>
      </c>
      <c r="R247" s="155"/>
    </row>
    <row r="248" spans="2:28" x14ac:dyDescent="0.3">
      <c r="B248" s="27" t="s">
        <v>157</v>
      </c>
      <c r="C248" s="25" t="s">
        <v>956</v>
      </c>
      <c r="D248" s="2" t="s">
        <v>546</v>
      </c>
      <c r="E248" s="15" t="s">
        <v>957</v>
      </c>
      <c r="F248" s="2" t="s">
        <v>971</v>
      </c>
      <c r="G248" s="2" t="s">
        <v>4874</v>
      </c>
      <c r="H248" s="20" t="s">
        <v>87</v>
      </c>
      <c r="I248" s="20">
        <v>699.81200000000001</v>
      </c>
      <c r="J248" s="5">
        <v>31</v>
      </c>
      <c r="K248" s="34">
        <v>20</v>
      </c>
      <c r="L248" s="95">
        <v>44656</v>
      </c>
      <c r="M248" s="2" t="s">
        <v>817</v>
      </c>
      <c r="N248" s="156">
        <v>44901</v>
      </c>
      <c r="O248" s="2" t="s">
        <v>958</v>
      </c>
      <c r="P248" s="2" t="s">
        <v>703</v>
      </c>
      <c r="Q248" s="18" t="s">
        <v>959</v>
      </c>
      <c r="R248" s="18"/>
      <c r="S248" s="18" t="s">
        <v>960</v>
      </c>
    </row>
    <row r="249" spans="2:28" x14ac:dyDescent="0.3">
      <c r="B249" s="27" t="s">
        <v>652</v>
      </c>
      <c r="C249" s="2" t="s">
        <v>961</v>
      </c>
      <c r="D249" s="85" t="s">
        <v>4844</v>
      </c>
      <c r="E249" s="27" t="s">
        <v>962</v>
      </c>
      <c r="F249" s="84" t="s">
        <v>4862</v>
      </c>
      <c r="G249" s="131" t="s">
        <v>4901</v>
      </c>
      <c r="H249" s="20" t="s">
        <v>87</v>
      </c>
      <c r="I249" s="20">
        <v>573.49599999999998</v>
      </c>
      <c r="J249" s="34">
        <v>22</v>
      </c>
      <c r="K249" s="34">
        <v>40</v>
      </c>
      <c r="L249" s="87" t="s">
        <v>628</v>
      </c>
      <c r="M249" s="94" t="s">
        <v>963</v>
      </c>
      <c r="N249" s="168" t="s">
        <v>964</v>
      </c>
      <c r="O249" s="20" t="s">
        <v>965</v>
      </c>
      <c r="P249" s="84" t="s">
        <v>561</v>
      </c>
      <c r="Q249" t="s">
        <v>966</v>
      </c>
      <c r="W249" s="137">
        <v>44687</v>
      </c>
      <c r="X249" t="s">
        <v>967</v>
      </c>
      <c r="Y249" t="s">
        <v>968</v>
      </c>
    </row>
    <row r="250" spans="2:28" x14ac:dyDescent="0.3">
      <c r="B250" s="27" t="s">
        <v>157</v>
      </c>
      <c r="C250" s="25" t="s">
        <v>969</v>
      </c>
      <c r="D250" s="2" t="s">
        <v>617</v>
      </c>
      <c r="E250" s="25" t="s">
        <v>970</v>
      </c>
      <c r="F250" s="2" t="s">
        <v>971</v>
      </c>
      <c r="G250" s="2" t="s">
        <v>3585</v>
      </c>
      <c r="H250" s="20" t="s">
        <v>87</v>
      </c>
      <c r="I250" s="20">
        <v>311.32400000000001</v>
      </c>
      <c r="J250" s="142">
        <v>12</v>
      </c>
      <c r="K250" s="143">
        <v>40</v>
      </c>
      <c r="L250" t="s">
        <v>971</v>
      </c>
      <c r="M250" s="94">
        <v>44687</v>
      </c>
      <c r="N250" s="156" t="s">
        <v>972</v>
      </c>
      <c r="O250" s="2" t="s">
        <v>973</v>
      </c>
      <c r="P250" s="2" t="s">
        <v>787</v>
      </c>
      <c r="Q250" s="74" t="s">
        <v>974</v>
      </c>
    </row>
    <row r="251" spans="2:28" x14ac:dyDescent="0.3">
      <c r="B251" s="36" t="s">
        <v>109</v>
      </c>
      <c r="C251" s="4" t="s">
        <v>975</v>
      </c>
      <c r="D251" s="4" t="s">
        <v>4916</v>
      </c>
      <c r="E251" s="4" t="s">
        <v>976</v>
      </c>
      <c r="F251" s="94">
        <v>44777</v>
      </c>
      <c r="G251" s="4" t="s">
        <v>4917</v>
      </c>
      <c r="H251" s="25" t="s">
        <v>977</v>
      </c>
      <c r="I251" s="20">
        <v>105.58</v>
      </c>
      <c r="J251" s="121">
        <v>5</v>
      </c>
      <c r="K251" s="120">
        <v>20</v>
      </c>
      <c r="L251" s="30"/>
      <c r="M251" s="96">
        <v>44840</v>
      </c>
      <c r="N251" s="25" t="s">
        <v>948</v>
      </c>
      <c r="O251" s="25" t="s">
        <v>978</v>
      </c>
      <c r="P251" s="2" t="s">
        <v>855</v>
      </c>
      <c r="Q251" t="s">
        <v>979</v>
      </c>
    </row>
    <row r="252" spans="2:28" x14ac:dyDescent="0.3">
      <c r="B252" s="135" t="s">
        <v>166</v>
      </c>
      <c r="C252" s="2" t="s">
        <v>980</v>
      </c>
      <c r="D252" s="2"/>
      <c r="E252" s="19" t="s">
        <v>4918</v>
      </c>
      <c r="F252" s="2"/>
      <c r="G252" s="2" t="s">
        <v>1938</v>
      </c>
      <c r="H252" s="2" t="s">
        <v>982</v>
      </c>
      <c r="I252" s="2">
        <v>28</v>
      </c>
      <c r="J252" s="2"/>
      <c r="K252" s="2"/>
      <c r="L252" s="2"/>
      <c r="M252" s="95">
        <v>44901</v>
      </c>
      <c r="N252" s="2"/>
      <c r="O252" s="2" t="s">
        <v>983</v>
      </c>
      <c r="P252" s="2"/>
      <c r="Q252" t="s">
        <v>984</v>
      </c>
    </row>
    <row r="253" spans="2:28" ht="15.6" x14ac:dyDescent="0.3">
      <c r="B253" s="27" t="s">
        <v>161</v>
      </c>
      <c r="C253" s="11" t="s">
        <v>985</v>
      </c>
      <c r="D253" s="11"/>
      <c r="E253" s="19">
        <v>609006221</v>
      </c>
      <c r="F253" s="2"/>
      <c r="G253" s="2"/>
      <c r="H253" s="25" t="s">
        <v>163</v>
      </c>
      <c r="I253" s="25">
        <v>48</v>
      </c>
      <c r="J253" s="25"/>
      <c r="K253" s="5">
        <v>3</v>
      </c>
      <c r="L253" s="5">
        <v>20</v>
      </c>
      <c r="M253" s="95">
        <v>44626</v>
      </c>
      <c r="N253" s="2" t="s">
        <v>986</v>
      </c>
      <c r="O253" s="2" t="s">
        <v>987</v>
      </c>
      <c r="P253" s="112">
        <v>44567</v>
      </c>
      <c r="Q253" t="s">
        <v>988</v>
      </c>
    </row>
    <row r="254" spans="2:28" x14ac:dyDescent="0.3">
      <c r="B254" s="27" t="s">
        <v>989</v>
      </c>
      <c r="C254" s="4" t="s">
        <v>990</v>
      </c>
      <c r="D254" s="2" t="s">
        <v>697</v>
      </c>
      <c r="E254" s="2" t="s">
        <v>991</v>
      </c>
      <c r="F254" s="2" t="s">
        <v>801</v>
      </c>
      <c r="G254" s="2" t="s">
        <v>1318</v>
      </c>
      <c r="H254" s="7" t="s">
        <v>152</v>
      </c>
      <c r="I254" s="2">
        <v>20</v>
      </c>
      <c r="J254" s="2">
        <v>1</v>
      </c>
      <c r="K254" s="2">
        <v>20</v>
      </c>
      <c r="L254" s="2"/>
      <c r="M254" s="95">
        <v>44901</v>
      </c>
      <c r="N254" s="2" t="s">
        <v>992</v>
      </c>
      <c r="O254" s="25" t="s">
        <v>121</v>
      </c>
      <c r="P254" s="95">
        <v>44779</v>
      </c>
      <c r="Q254" t="s">
        <v>993</v>
      </c>
      <c r="R254" s="137"/>
    </row>
    <row r="255" spans="2:28" x14ac:dyDescent="0.3">
      <c r="B255" s="27" t="s">
        <v>989</v>
      </c>
      <c r="C255" s="4" t="s">
        <v>994</v>
      </c>
      <c r="D255" s="2" t="s">
        <v>697</v>
      </c>
      <c r="E255" s="2" t="s">
        <v>995</v>
      </c>
      <c r="F255" s="2" t="s">
        <v>801</v>
      </c>
      <c r="G255" s="2" t="s">
        <v>1318</v>
      </c>
      <c r="H255" s="7" t="s">
        <v>152</v>
      </c>
      <c r="I255" s="2">
        <v>20</v>
      </c>
      <c r="J255" s="2">
        <v>1</v>
      </c>
      <c r="K255" s="2">
        <v>20</v>
      </c>
      <c r="L255" s="2"/>
      <c r="M255" s="95">
        <v>44901</v>
      </c>
      <c r="N255" s="2" t="s">
        <v>992</v>
      </c>
      <c r="O255" s="25" t="s">
        <v>121</v>
      </c>
      <c r="P255" s="95">
        <v>44779</v>
      </c>
      <c r="Q255" t="s">
        <v>993</v>
      </c>
      <c r="R255" s="137"/>
    </row>
    <row r="256" spans="2:28" x14ac:dyDescent="0.3">
      <c r="B256" s="27" t="s">
        <v>996</v>
      </c>
      <c r="C256" s="25" t="s">
        <v>997</v>
      </c>
      <c r="D256" s="94">
        <v>44654</v>
      </c>
      <c r="E256" s="25" t="s">
        <v>998</v>
      </c>
      <c r="F256" s="25" t="s">
        <v>875</v>
      </c>
      <c r="G256" s="25" t="s">
        <v>3615</v>
      </c>
      <c r="H256" s="20" t="s">
        <v>87</v>
      </c>
      <c r="I256" s="52">
        <v>498.54</v>
      </c>
      <c r="J256" s="5">
        <v>20</v>
      </c>
      <c r="K256" s="34">
        <v>20</v>
      </c>
      <c r="L256" s="5"/>
      <c r="M256" s="95" t="s">
        <v>999</v>
      </c>
      <c r="N256" s="44" t="s">
        <v>992</v>
      </c>
      <c r="O256" s="25" t="s">
        <v>629</v>
      </c>
      <c r="P256" s="2" t="s">
        <v>831</v>
      </c>
      <c r="Q256" s="18" t="s">
        <v>1000</v>
      </c>
      <c r="R256" s="137"/>
    </row>
    <row r="257" spans="2:22" x14ac:dyDescent="0.3">
      <c r="B257" s="27" t="s">
        <v>996</v>
      </c>
      <c r="C257" s="25" t="s">
        <v>1001</v>
      </c>
      <c r="D257" s="94">
        <v>44807</v>
      </c>
      <c r="E257" s="25" t="s">
        <v>1002</v>
      </c>
      <c r="F257" s="25" t="s">
        <v>875</v>
      </c>
      <c r="G257" s="25" t="s">
        <v>3615</v>
      </c>
      <c r="H257" s="20" t="s">
        <v>87</v>
      </c>
      <c r="I257" s="20">
        <v>499.04300000000001</v>
      </c>
      <c r="J257" s="5">
        <v>20</v>
      </c>
      <c r="K257" s="34">
        <v>20</v>
      </c>
      <c r="L257" s="5"/>
      <c r="M257" s="95" t="s">
        <v>1003</v>
      </c>
      <c r="N257" s="44" t="s">
        <v>1004</v>
      </c>
      <c r="O257" s="25" t="s">
        <v>1005</v>
      </c>
      <c r="P257" s="2" t="s">
        <v>703</v>
      </c>
      <c r="Q257" s="18" t="s">
        <v>1006</v>
      </c>
      <c r="R257" s="137"/>
    </row>
    <row r="258" spans="2:22" x14ac:dyDescent="0.3">
      <c r="B258" s="27" t="s">
        <v>157</v>
      </c>
      <c r="C258" s="25" t="s">
        <v>1007</v>
      </c>
      <c r="D258" s="2" t="s">
        <v>697</v>
      </c>
      <c r="E258" s="25" t="s">
        <v>1008</v>
      </c>
      <c r="F258" s="2" t="s">
        <v>610</v>
      </c>
      <c r="G258" s="2" t="s">
        <v>4874</v>
      </c>
      <c r="H258" s="20" t="s">
        <v>87</v>
      </c>
      <c r="I258" s="20">
        <v>217.10900000000001</v>
      </c>
      <c r="J258" s="5">
        <v>10</v>
      </c>
      <c r="K258" s="5">
        <v>20</v>
      </c>
      <c r="L258" s="2" t="s">
        <v>1009</v>
      </c>
      <c r="M258" s="25" t="s">
        <v>1010</v>
      </c>
      <c r="N258" s="156">
        <v>44627</v>
      </c>
      <c r="O258" s="2" t="s">
        <v>1011</v>
      </c>
      <c r="P258" s="2" t="s">
        <v>787</v>
      </c>
      <c r="Q258" s="18" t="s">
        <v>1012</v>
      </c>
      <c r="R258" s="137"/>
      <c r="S258" s="74"/>
    </row>
    <row r="259" spans="2:22" x14ac:dyDescent="0.3">
      <c r="B259" s="27" t="s">
        <v>157</v>
      </c>
      <c r="C259" s="25" t="s">
        <v>1013</v>
      </c>
      <c r="D259" s="2" t="s">
        <v>586</v>
      </c>
      <c r="E259" s="25" t="s">
        <v>1014</v>
      </c>
      <c r="F259" s="2" t="s">
        <v>971</v>
      </c>
      <c r="G259" s="2" t="s">
        <v>3585</v>
      </c>
      <c r="H259" s="20" t="s">
        <v>87</v>
      </c>
      <c r="I259" s="20">
        <v>755.30600000000004</v>
      </c>
      <c r="J259" s="5">
        <v>29</v>
      </c>
      <c r="K259" s="5">
        <v>40</v>
      </c>
      <c r="L259" s="2" t="s">
        <v>787</v>
      </c>
      <c r="M259" s="25" t="s">
        <v>1015</v>
      </c>
      <c r="N259" s="44" t="s">
        <v>948</v>
      </c>
      <c r="O259" s="2" t="s">
        <v>1016</v>
      </c>
      <c r="P259" s="2" t="s">
        <v>787</v>
      </c>
      <c r="Q259" s="74" t="s">
        <v>1017</v>
      </c>
    </row>
    <row r="260" spans="2:22" x14ac:dyDescent="0.3">
      <c r="B260" s="36" t="s">
        <v>1018</v>
      </c>
      <c r="C260" s="25" t="s">
        <v>1019</v>
      </c>
      <c r="D260" s="94">
        <v>44595</v>
      </c>
      <c r="E260" s="25" t="s">
        <v>1020</v>
      </c>
      <c r="F260" s="25" t="s">
        <v>4919</v>
      </c>
      <c r="G260" s="25" t="s">
        <v>3615</v>
      </c>
      <c r="H260" s="25" t="s">
        <v>87</v>
      </c>
      <c r="I260" s="52">
        <v>241.11</v>
      </c>
      <c r="J260" s="5">
        <v>10</v>
      </c>
      <c r="K260" s="34">
        <v>20</v>
      </c>
      <c r="L260" s="19" t="s">
        <v>692</v>
      </c>
      <c r="M260" s="95" t="s">
        <v>999</v>
      </c>
      <c r="N260" s="44" t="s">
        <v>1004</v>
      </c>
      <c r="O260" s="25" t="s">
        <v>1021</v>
      </c>
      <c r="P260" s="2" t="s">
        <v>586</v>
      </c>
      <c r="Q260" s="18" t="s">
        <v>1022</v>
      </c>
      <c r="R260" s="137"/>
    </row>
    <row r="261" spans="2:22" ht="72" x14ac:dyDescent="0.3">
      <c r="B261" s="27" t="s">
        <v>157</v>
      </c>
      <c r="C261" s="25" t="s">
        <v>1023</v>
      </c>
      <c r="D261" s="112">
        <v>44597</v>
      </c>
      <c r="E261" s="25" t="s">
        <v>1024</v>
      </c>
      <c r="F261" s="2" t="s">
        <v>4920</v>
      </c>
      <c r="G261" s="141" t="s">
        <v>4921</v>
      </c>
      <c r="H261" s="20" t="s">
        <v>87</v>
      </c>
      <c r="I261" s="20">
        <f>144.44</f>
        <v>144.44</v>
      </c>
      <c r="J261" s="5">
        <v>6</v>
      </c>
      <c r="K261" s="5">
        <v>20</v>
      </c>
      <c r="L261" s="2" t="s">
        <v>817</v>
      </c>
      <c r="M261" s="25" t="s">
        <v>1025</v>
      </c>
      <c r="N261" s="44" t="s">
        <v>1026</v>
      </c>
      <c r="O261" s="2" t="s">
        <v>1027</v>
      </c>
      <c r="P261" s="24" t="s">
        <v>1028</v>
      </c>
      <c r="Q261" s="18" t="s">
        <v>1029</v>
      </c>
    </row>
    <row r="262" spans="2:22" x14ac:dyDescent="0.3">
      <c r="B262" s="27" t="s">
        <v>478</v>
      </c>
      <c r="C262" s="25" t="s">
        <v>479</v>
      </c>
      <c r="D262" s="85" t="s">
        <v>4832</v>
      </c>
      <c r="E262" s="25" t="s">
        <v>1030</v>
      </c>
      <c r="F262" s="84" t="s">
        <v>4841</v>
      </c>
      <c r="G262" s="128" t="s">
        <v>4886</v>
      </c>
      <c r="H262" s="16" t="s">
        <v>205</v>
      </c>
      <c r="I262" s="65">
        <v>102.96</v>
      </c>
      <c r="J262" s="34">
        <v>4</v>
      </c>
      <c r="K262" s="34">
        <v>40</v>
      </c>
      <c r="L262" s="84"/>
      <c r="M262" s="94">
        <v>44901</v>
      </c>
      <c r="N262" s="9" t="s">
        <v>1031</v>
      </c>
      <c r="O262" s="25" t="s">
        <v>1032</v>
      </c>
      <c r="P262" s="84" t="s">
        <v>484</v>
      </c>
      <c r="Q262" t="s">
        <v>1033</v>
      </c>
    </row>
    <row r="263" spans="2:22" x14ac:dyDescent="0.3">
      <c r="B263" s="99" t="s">
        <v>157</v>
      </c>
      <c r="C263" s="100" t="s">
        <v>1034</v>
      </c>
      <c r="D263" t="s">
        <v>931</v>
      </c>
      <c r="E263" s="100" t="s">
        <v>1035</v>
      </c>
      <c r="F263" s="137">
        <v>44746</v>
      </c>
      <c r="G263" s="18" t="s">
        <v>4922</v>
      </c>
      <c r="H263" s="104" t="s">
        <v>87</v>
      </c>
      <c r="I263" s="104">
        <f>485.904</f>
        <v>485.904</v>
      </c>
      <c r="J263" s="143">
        <v>24</v>
      </c>
      <c r="K263" s="143">
        <v>20</v>
      </c>
      <c r="L263" s="165">
        <v>44567</v>
      </c>
      <c r="M263" s="49" t="s">
        <v>1025</v>
      </c>
      <c r="N263" s="171" t="s">
        <v>1031</v>
      </c>
      <c r="O263" s="76" t="s">
        <v>1036</v>
      </c>
      <c r="P263" s="173">
        <v>44718</v>
      </c>
      <c r="Q263" s="49" t="s">
        <v>1037</v>
      </c>
      <c r="R263" s="137"/>
    </row>
    <row r="264" spans="2:22" x14ac:dyDescent="0.3">
      <c r="B264" s="27" t="s">
        <v>652</v>
      </c>
      <c r="C264" s="25" t="s">
        <v>1038</v>
      </c>
      <c r="D264" s="95">
        <v>44717</v>
      </c>
      <c r="E264" s="25" t="s">
        <v>1039</v>
      </c>
      <c r="F264" s="25" t="s">
        <v>4919</v>
      </c>
      <c r="G264" s="25" t="s">
        <v>3615</v>
      </c>
      <c r="H264" s="20" t="s">
        <v>87</v>
      </c>
      <c r="I264" s="20">
        <v>625.79</v>
      </c>
      <c r="J264" s="5">
        <v>26</v>
      </c>
      <c r="K264" s="34">
        <v>20</v>
      </c>
      <c r="L264" s="2"/>
      <c r="M264" s="19" t="s">
        <v>1025</v>
      </c>
      <c r="N264" s="44" t="s">
        <v>1004</v>
      </c>
      <c r="O264" s="2" t="s">
        <v>1040</v>
      </c>
      <c r="P264" s="2" t="s">
        <v>817</v>
      </c>
      <c r="Q264" s="18" t="s">
        <v>1041</v>
      </c>
      <c r="R264" s="137"/>
      <c r="V264" t="s">
        <v>1042</v>
      </c>
    </row>
    <row r="265" spans="2:22" ht="15.6" x14ac:dyDescent="0.3">
      <c r="B265" s="27" t="s">
        <v>161</v>
      </c>
      <c r="C265" s="11" t="s">
        <v>1043</v>
      </c>
      <c r="D265" s="11" t="s">
        <v>525</v>
      </c>
      <c r="E265" s="19">
        <v>609009624</v>
      </c>
      <c r="F265" s="2" t="s">
        <v>650</v>
      </c>
      <c r="G265" s="2" t="s">
        <v>4923</v>
      </c>
      <c r="H265" s="25" t="s">
        <v>163</v>
      </c>
      <c r="I265" s="25">
        <v>48</v>
      </c>
      <c r="J265" s="25"/>
      <c r="K265" s="5">
        <v>3</v>
      </c>
      <c r="L265" s="5">
        <v>20</v>
      </c>
      <c r="M265" s="95">
        <v>44901</v>
      </c>
      <c r="N265" s="2" t="s">
        <v>992</v>
      </c>
      <c r="O265" s="2" t="s">
        <v>1044</v>
      </c>
      <c r="P265" s="112">
        <v>44810</v>
      </c>
      <c r="Q265" t="s">
        <v>1045</v>
      </c>
    </row>
    <row r="266" spans="2:22" x14ac:dyDescent="0.3">
      <c r="B266" s="27" t="s">
        <v>157</v>
      </c>
      <c r="C266" s="25" t="s">
        <v>1046</v>
      </c>
      <c r="D266" s="19" t="s">
        <v>546</v>
      </c>
      <c r="E266" s="25" t="s">
        <v>1047</v>
      </c>
      <c r="F266" s="25" t="s">
        <v>4902</v>
      </c>
      <c r="G266" s="25" t="s">
        <v>3615</v>
      </c>
      <c r="H266" s="20" t="s">
        <v>87</v>
      </c>
      <c r="I266" s="20">
        <v>481.66</v>
      </c>
      <c r="J266" s="5">
        <v>20</v>
      </c>
      <c r="K266" s="34">
        <v>20</v>
      </c>
      <c r="L266" s="5"/>
      <c r="M266" s="95" t="s">
        <v>1025</v>
      </c>
      <c r="N266" s="44" t="s">
        <v>1026</v>
      </c>
      <c r="O266" s="2" t="s">
        <v>1048</v>
      </c>
      <c r="P266" s="2" t="s">
        <v>703</v>
      </c>
      <c r="Q266" s="18" t="s">
        <v>1049</v>
      </c>
    </row>
    <row r="267" spans="2:22" x14ac:dyDescent="0.3">
      <c r="B267" s="36" t="s">
        <v>857</v>
      </c>
      <c r="C267" s="25" t="s">
        <v>1050</v>
      </c>
      <c r="D267" s="4" t="s">
        <v>525</v>
      </c>
      <c r="E267" s="25" t="s">
        <v>1051</v>
      </c>
      <c r="F267" s="25" t="s">
        <v>525</v>
      </c>
      <c r="G267" s="25" t="s">
        <v>3615</v>
      </c>
      <c r="H267" s="27" t="s">
        <v>860</v>
      </c>
      <c r="I267" s="20">
        <v>408.14</v>
      </c>
      <c r="J267" s="5">
        <v>19</v>
      </c>
      <c r="K267" s="34">
        <v>20</v>
      </c>
      <c r="L267" s="169"/>
      <c r="M267" s="95">
        <v>44901</v>
      </c>
      <c r="N267" s="44" t="s">
        <v>1004</v>
      </c>
      <c r="O267" s="2" t="s">
        <v>1052</v>
      </c>
      <c r="P267" s="95">
        <v>44809</v>
      </c>
      <c r="Q267" s="74" t="s">
        <v>1053</v>
      </c>
      <c r="R267" s="137"/>
    </row>
    <row r="268" spans="2:22" x14ac:dyDescent="0.3">
      <c r="B268" s="27" t="s">
        <v>39</v>
      </c>
      <c r="C268" s="25" t="s">
        <v>1054</v>
      </c>
      <c r="D268" s="2"/>
      <c r="E268" s="67">
        <v>217883158</v>
      </c>
      <c r="F268" s="44" t="s">
        <v>696</v>
      </c>
      <c r="G268" s="2" t="s">
        <v>4901</v>
      </c>
      <c r="H268" s="7" t="s">
        <v>42</v>
      </c>
      <c r="I268" s="56">
        <v>52.116999999999997</v>
      </c>
      <c r="J268" s="5">
        <v>2</v>
      </c>
      <c r="K268" s="5">
        <v>40</v>
      </c>
      <c r="L268" s="2" t="s">
        <v>855</v>
      </c>
      <c r="M268" s="94" t="s">
        <v>1055</v>
      </c>
      <c r="N268" s="44" t="s">
        <v>1056</v>
      </c>
      <c r="O268" s="25" t="s">
        <v>1057</v>
      </c>
      <c r="P268" s="2" t="s">
        <v>1058</v>
      </c>
      <c r="Q268" t="s">
        <v>1059</v>
      </c>
      <c r="R268" s="137"/>
    </row>
    <row r="269" spans="2:22" x14ac:dyDescent="0.3">
      <c r="B269" s="27" t="s">
        <v>996</v>
      </c>
      <c r="C269" s="25" t="s">
        <v>1060</v>
      </c>
      <c r="D269" s="2" t="s">
        <v>4924</v>
      </c>
      <c r="E269" s="25" t="s">
        <v>1061</v>
      </c>
      <c r="F269" s="2" t="s">
        <v>553</v>
      </c>
      <c r="G269" s="2" t="s">
        <v>3615</v>
      </c>
      <c r="H269" s="20" t="s">
        <v>87</v>
      </c>
      <c r="I269" s="20">
        <v>492.28399999999999</v>
      </c>
      <c r="J269" s="5">
        <v>20</v>
      </c>
      <c r="K269" s="34">
        <v>20</v>
      </c>
      <c r="L269" s="19" t="s">
        <v>791</v>
      </c>
      <c r="M269" s="2" t="s">
        <v>1025</v>
      </c>
      <c r="N269" s="44" t="s">
        <v>1026</v>
      </c>
      <c r="O269" s="2" t="s">
        <v>1062</v>
      </c>
      <c r="P269" s="95">
        <v>44778</v>
      </c>
      <c r="Q269" s="74" t="s">
        <v>1063</v>
      </c>
      <c r="R269" s="137"/>
    </row>
    <row r="270" spans="2:22" ht="187.2" x14ac:dyDescent="0.3">
      <c r="B270" s="27" t="s">
        <v>541</v>
      </c>
      <c r="C270" s="15" t="s">
        <v>615</v>
      </c>
      <c r="D270" s="86" t="s">
        <v>4850</v>
      </c>
      <c r="E270" s="15" t="s">
        <v>616</v>
      </c>
      <c r="F270" s="84" t="s">
        <v>443</v>
      </c>
      <c r="G270" s="133" t="s">
        <v>4865</v>
      </c>
      <c r="H270" s="20" t="s">
        <v>87</v>
      </c>
      <c r="I270" s="20">
        <v>22</v>
      </c>
      <c r="J270" s="34">
        <v>1</v>
      </c>
      <c r="K270" s="34">
        <v>20</v>
      </c>
      <c r="L270" s="87">
        <v>44686</v>
      </c>
      <c r="M270" s="94" t="s">
        <v>1025</v>
      </c>
      <c r="N270" s="9" t="s">
        <v>1056</v>
      </c>
      <c r="O270" s="174" t="s">
        <v>1064</v>
      </c>
      <c r="P270" s="84" t="s">
        <v>500</v>
      </c>
      <c r="Q270" s="76" t="s">
        <v>1065</v>
      </c>
    </row>
    <row r="271" spans="2:22" x14ac:dyDescent="0.3">
      <c r="B271" s="16" t="s">
        <v>124</v>
      </c>
      <c r="C271" s="2" t="s">
        <v>1066</v>
      </c>
      <c r="D271" s="2" t="s">
        <v>4925</v>
      </c>
      <c r="E271" s="19" t="s">
        <v>1067</v>
      </c>
      <c r="F271" s="2"/>
      <c r="G271" s="2" t="s">
        <v>1482</v>
      </c>
      <c r="H271" s="67" t="s">
        <v>1068</v>
      </c>
      <c r="I271" s="25">
        <v>30000</v>
      </c>
      <c r="J271" s="2"/>
      <c r="K271" s="5">
        <v>1</v>
      </c>
      <c r="L271" s="2"/>
      <c r="M271" s="2" t="s">
        <v>1069</v>
      </c>
      <c r="N271" s="2" t="s">
        <v>948</v>
      </c>
      <c r="O271" s="2" t="s">
        <v>121</v>
      </c>
      <c r="P271" s="2"/>
      <c r="Q271" s="74" t="s">
        <v>1086</v>
      </c>
    </row>
    <row r="272" spans="2:22" x14ac:dyDescent="0.3">
      <c r="B272" s="27" t="s">
        <v>157</v>
      </c>
      <c r="C272" s="25" t="s">
        <v>1070</v>
      </c>
      <c r="D272" s="2" t="s">
        <v>793</v>
      </c>
      <c r="E272" s="25" t="s">
        <v>1071</v>
      </c>
      <c r="F272" s="112">
        <v>44624</v>
      </c>
      <c r="G272" s="2" t="s">
        <v>3615</v>
      </c>
      <c r="H272" s="20" t="s">
        <v>87</v>
      </c>
      <c r="I272" s="20">
        <v>72.28</v>
      </c>
      <c r="J272" s="5">
        <v>3</v>
      </c>
      <c r="K272" s="5">
        <v>20</v>
      </c>
      <c r="L272" s="95">
        <v>44567</v>
      </c>
      <c r="M272" s="25" t="s">
        <v>1072</v>
      </c>
      <c r="N272" s="44" t="s">
        <v>1073</v>
      </c>
      <c r="O272" s="2" t="s">
        <v>1074</v>
      </c>
      <c r="P272" s="2" t="s">
        <v>1025</v>
      </c>
      <c r="Q272" s="18" t="s">
        <v>1075</v>
      </c>
      <c r="R272" s="18"/>
    </row>
    <row r="273" spans="1:22" x14ac:dyDescent="0.3">
      <c r="B273" s="36" t="s">
        <v>900</v>
      </c>
      <c r="C273" s="25" t="s">
        <v>1076</v>
      </c>
      <c r="D273" s="25" t="s">
        <v>4924</v>
      </c>
      <c r="E273" s="15" t="s">
        <v>1077</v>
      </c>
      <c r="F273" s="97">
        <v>44686</v>
      </c>
      <c r="G273" s="25" t="s">
        <v>3822</v>
      </c>
      <c r="H273" s="25" t="s">
        <v>1078</v>
      </c>
      <c r="I273" s="20">
        <v>36</v>
      </c>
      <c r="J273" s="5">
        <v>2</v>
      </c>
      <c r="K273" s="5">
        <v>20</v>
      </c>
      <c r="L273" s="112">
        <v>44901</v>
      </c>
      <c r="M273" s="25" t="s">
        <v>1031</v>
      </c>
      <c r="N273" s="112">
        <v>44688</v>
      </c>
      <c r="O273" s="2" t="s">
        <v>28</v>
      </c>
      <c r="P273" s="2" t="s">
        <v>948</v>
      </c>
      <c r="Q273" t="s">
        <v>1075</v>
      </c>
    </row>
    <row r="274" spans="1:22" x14ac:dyDescent="0.3">
      <c r="B274" s="27" t="s">
        <v>157</v>
      </c>
      <c r="C274" s="25" t="s">
        <v>1079</v>
      </c>
      <c r="D274" s="25" t="s">
        <v>831</v>
      </c>
      <c r="E274" s="25" t="s">
        <v>1080</v>
      </c>
      <c r="F274" s="97">
        <v>44685</v>
      </c>
      <c r="G274" s="25" t="s">
        <v>3615</v>
      </c>
      <c r="H274" s="20" t="s">
        <v>87</v>
      </c>
      <c r="I274" s="20">
        <f>288.67</f>
        <v>288.67</v>
      </c>
      <c r="J274" s="5">
        <v>12</v>
      </c>
      <c r="K274" s="5">
        <v>20</v>
      </c>
      <c r="L274" s="95">
        <v>44567</v>
      </c>
      <c r="M274" s="25" t="s">
        <v>1072</v>
      </c>
      <c r="N274" s="44" t="s">
        <v>1073</v>
      </c>
      <c r="O274" s="2" t="s">
        <v>1081</v>
      </c>
      <c r="P274" s="2" t="s">
        <v>1025</v>
      </c>
      <c r="Q274" s="18" t="s">
        <v>1082</v>
      </c>
      <c r="R274" s="18"/>
    </row>
    <row r="275" spans="1:22" x14ac:dyDescent="0.3">
      <c r="B275" s="135" t="s">
        <v>124</v>
      </c>
      <c r="C275" s="2" t="s">
        <v>1083</v>
      </c>
      <c r="D275" s="2" t="s">
        <v>4926</v>
      </c>
      <c r="E275" s="19" t="s">
        <v>1084</v>
      </c>
      <c r="F275" s="2"/>
      <c r="G275" s="2" t="s">
        <v>1482</v>
      </c>
      <c r="H275" s="67" t="s">
        <v>1085</v>
      </c>
      <c r="I275" s="25">
        <v>10000</v>
      </c>
      <c r="J275" s="2"/>
      <c r="K275" s="595">
        <v>1</v>
      </c>
      <c r="L275" s="2"/>
      <c r="M275" s="2" t="s">
        <v>1004</v>
      </c>
      <c r="N275" s="2"/>
      <c r="O275" s="2" t="s">
        <v>28</v>
      </c>
      <c r="P275" s="2"/>
      <c r="Q275" t="s">
        <v>1086</v>
      </c>
    </row>
    <row r="276" spans="1:22" x14ac:dyDescent="0.3">
      <c r="B276" s="135" t="s">
        <v>124</v>
      </c>
      <c r="C276" s="2" t="s">
        <v>1066</v>
      </c>
      <c r="D276" s="2" t="s">
        <v>4925</v>
      </c>
      <c r="E276" s="19" t="s">
        <v>1084</v>
      </c>
      <c r="F276" s="2"/>
      <c r="G276" s="2" t="s">
        <v>1482</v>
      </c>
      <c r="H276" s="67" t="s">
        <v>1068</v>
      </c>
      <c r="I276" s="25">
        <v>30000</v>
      </c>
      <c r="J276" s="2"/>
      <c r="K276" s="596"/>
      <c r="L276" s="2"/>
      <c r="M276" s="2" t="s">
        <v>1004</v>
      </c>
      <c r="N276" s="2"/>
      <c r="O276" s="2" t="s">
        <v>1087</v>
      </c>
      <c r="P276" s="2"/>
      <c r="Q276" t="s">
        <v>1086</v>
      </c>
    </row>
    <row r="277" spans="1:22" x14ac:dyDescent="0.3">
      <c r="B277" s="27" t="s">
        <v>157</v>
      </c>
      <c r="C277" s="25" t="s">
        <v>1088</v>
      </c>
      <c r="D277" s="25" t="s">
        <v>779</v>
      </c>
      <c r="E277" s="25" t="s">
        <v>1089</v>
      </c>
      <c r="F277" s="97">
        <v>44624</v>
      </c>
      <c r="G277" s="25" t="s">
        <v>3615</v>
      </c>
      <c r="H277" s="20" t="s">
        <v>87</v>
      </c>
      <c r="I277" s="20">
        <f>480.24</f>
        <v>480.24</v>
      </c>
      <c r="J277" s="5">
        <v>20</v>
      </c>
      <c r="K277" s="5">
        <v>20</v>
      </c>
      <c r="L277" s="95">
        <v>44567</v>
      </c>
      <c r="M277" s="25" t="s">
        <v>1072</v>
      </c>
      <c r="N277" s="44" t="s">
        <v>1073</v>
      </c>
      <c r="O277" s="2" t="s">
        <v>1074</v>
      </c>
      <c r="P277" s="2" t="s">
        <v>1025</v>
      </c>
      <c r="Q277" s="18" t="s">
        <v>1090</v>
      </c>
      <c r="R277" s="18"/>
    </row>
    <row r="278" spans="1:22" x14ac:dyDescent="0.3">
      <c r="B278" s="135" t="s">
        <v>166</v>
      </c>
      <c r="C278" s="2" t="s">
        <v>980</v>
      </c>
      <c r="D278" s="2" t="s">
        <v>4927</v>
      </c>
      <c r="E278" s="19" t="s">
        <v>1091</v>
      </c>
      <c r="F278" s="2"/>
      <c r="G278" s="2" t="s">
        <v>4928</v>
      </c>
      <c r="H278" s="2" t="s">
        <v>1093</v>
      </c>
      <c r="I278" s="2">
        <v>28</v>
      </c>
      <c r="J278" s="2"/>
      <c r="K278" s="5">
        <v>1</v>
      </c>
      <c r="L278" s="2"/>
      <c r="M278" s="2" t="s">
        <v>948</v>
      </c>
      <c r="N278" s="2"/>
      <c r="O278" s="2" t="s">
        <v>121</v>
      </c>
      <c r="P278" s="2"/>
      <c r="Q278" t="s">
        <v>4929</v>
      </c>
    </row>
    <row r="279" spans="1:22" ht="15.6" x14ac:dyDescent="0.3">
      <c r="B279" s="22" t="s">
        <v>690</v>
      </c>
      <c r="C279" s="20" t="s">
        <v>1094</v>
      </c>
      <c r="D279" s="20"/>
      <c r="E279" s="2" t="s">
        <v>1095</v>
      </c>
      <c r="F279" s="2" t="s">
        <v>4930</v>
      </c>
      <c r="G279" s="129" t="s">
        <v>4863</v>
      </c>
      <c r="H279" s="7" t="s">
        <v>42</v>
      </c>
      <c r="I279" s="57">
        <v>501.08199999999999</v>
      </c>
      <c r="J279" s="2">
        <v>20</v>
      </c>
      <c r="K279" s="2">
        <v>40</v>
      </c>
      <c r="L279" s="5" t="s">
        <v>931</v>
      </c>
      <c r="M279" s="6" t="s">
        <v>944</v>
      </c>
      <c r="N279" s="97">
        <v>44658</v>
      </c>
      <c r="O279" s="25" t="s">
        <v>4931</v>
      </c>
      <c r="P279" s="95">
        <v>44687</v>
      </c>
      <c r="Q279" t="s">
        <v>4932</v>
      </c>
    </row>
    <row r="280" spans="1:22" x14ac:dyDescent="0.3">
      <c r="B280" s="36" t="s">
        <v>149</v>
      </c>
      <c r="C280" s="6" t="s">
        <v>1096</v>
      </c>
      <c r="D280" s="2" t="s">
        <v>831</v>
      </c>
      <c r="E280" s="2" t="s">
        <v>1097</v>
      </c>
      <c r="F280" s="112">
        <v>44810</v>
      </c>
      <c r="G280" s="25" t="s">
        <v>1318</v>
      </c>
      <c r="H280" s="20" t="s">
        <v>152</v>
      </c>
      <c r="I280" s="55">
        <v>20</v>
      </c>
      <c r="J280" s="5">
        <v>1</v>
      </c>
      <c r="K280" s="5">
        <v>20</v>
      </c>
      <c r="L280" s="2" t="s">
        <v>4933</v>
      </c>
      <c r="M280" s="25" t="s">
        <v>1026</v>
      </c>
      <c r="N280" s="44" t="s">
        <v>3577</v>
      </c>
      <c r="O280" s="2" t="s">
        <v>28</v>
      </c>
      <c r="P280" s="2" t="s">
        <v>948</v>
      </c>
      <c r="Q280" s="18" t="s">
        <v>4934</v>
      </c>
    </row>
    <row r="281" spans="1:22" ht="15.6" x14ac:dyDescent="0.3">
      <c r="B281" s="27" t="s">
        <v>652</v>
      </c>
      <c r="C281" s="2" t="s">
        <v>1098</v>
      </c>
      <c r="D281" s="25" t="s">
        <v>571</v>
      </c>
      <c r="E281" s="25" t="s">
        <v>1099</v>
      </c>
      <c r="F281" s="25" t="s">
        <v>610</v>
      </c>
      <c r="G281" s="132" t="s">
        <v>3585</v>
      </c>
      <c r="H281" s="20" t="s">
        <v>87</v>
      </c>
      <c r="I281" s="20">
        <v>508.55700000000002</v>
      </c>
      <c r="J281" s="34">
        <v>25</v>
      </c>
      <c r="K281" s="34">
        <v>20</v>
      </c>
      <c r="L281" s="34"/>
      <c r="M281" s="94" t="s">
        <v>948</v>
      </c>
      <c r="N281" s="97">
        <v>40670</v>
      </c>
      <c r="O281" s="25" t="s">
        <v>4935</v>
      </c>
      <c r="P281" s="94">
        <v>44809</v>
      </c>
      <c r="Q281" t="s">
        <v>4936</v>
      </c>
    </row>
    <row r="282" spans="1:22" x14ac:dyDescent="0.3">
      <c r="B282" s="27" t="s">
        <v>1100</v>
      </c>
      <c r="C282" s="2" t="s">
        <v>1101</v>
      </c>
      <c r="D282" s="112">
        <v>44899</v>
      </c>
      <c r="E282" s="2" t="s">
        <v>1102</v>
      </c>
      <c r="F282" s="2" t="s">
        <v>787</v>
      </c>
      <c r="G282" s="2" t="s">
        <v>4937</v>
      </c>
      <c r="H282" s="25" t="s">
        <v>1103</v>
      </c>
      <c r="I282" s="25">
        <v>49.5</v>
      </c>
      <c r="J282" s="5">
        <v>2</v>
      </c>
      <c r="K282" s="5">
        <v>40</v>
      </c>
      <c r="M282" s="2" t="s">
        <v>1073</v>
      </c>
      <c r="N282" s="112" t="s">
        <v>3548</v>
      </c>
      <c r="O282" s="2" t="s">
        <v>28</v>
      </c>
      <c r="P282" s="2" t="s">
        <v>948</v>
      </c>
      <c r="Q282" t="s">
        <v>4938</v>
      </c>
      <c r="R282" t="s">
        <v>986</v>
      </c>
    </row>
    <row r="283" spans="1:22" x14ac:dyDescent="0.3">
      <c r="B283" s="27" t="s">
        <v>1100</v>
      </c>
      <c r="C283" s="2" t="s">
        <v>1101</v>
      </c>
      <c r="D283" s="112">
        <v>44899</v>
      </c>
      <c r="E283" s="2" t="s">
        <v>1104</v>
      </c>
      <c r="F283" s="2" t="s">
        <v>787</v>
      </c>
      <c r="G283" s="2" t="s">
        <v>4937</v>
      </c>
      <c r="H283" s="25" t="s">
        <v>1105</v>
      </c>
      <c r="I283" s="25">
        <v>25.5</v>
      </c>
      <c r="J283" s="5">
        <v>1</v>
      </c>
      <c r="K283" s="5">
        <v>40</v>
      </c>
      <c r="M283" s="2" t="s">
        <v>1073</v>
      </c>
      <c r="N283" s="112" t="s">
        <v>3548</v>
      </c>
      <c r="O283" s="2" t="s">
        <v>28</v>
      </c>
      <c r="P283" s="2" t="s">
        <v>948</v>
      </c>
      <c r="Q283" t="s">
        <v>4938</v>
      </c>
      <c r="R283" t="s">
        <v>986</v>
      </c>
    </row>
    <row r="284" spans="1:22" x14ac:dyDescent="0.3">
      <c r="B284" s="135" t="s">
        <v>812</v>
      </c>
      <c r="C284" s="2" t="s">
        <v>1106</v>
      </c>
      <c r="D284" s="2" t="s">
        <v>591</v>
      </c>
      <c r="E284" s="19">
        <v>609053515</v>
      </c>
      <c r="F284" s="2" t="s">
        <v>846</v>
      </c>
      <c r="G284" s="2" t="s">
        <v>4937</v>
      </c>
      <c r="H284" s="2" t="s">
        <v>1107</v>
      </c>
      <c r="I284" s="2">
        <v>32</v>
      </c>
      <c r="J284" s="5">
        <v>2</v>
      </c>
      <c r="K284" s="5">
        <v>20</v>
      </c>
      <c r="M284" s="2" t="s">
        <v>1026</v>
      </c>
      <c r="N284" s="112">
        <v>44811</v>
      </c>
      <c r="O284" s="2" t="s">
        <v>121</v>
      </c>
      <c r="P284" s="2" t="s">
        <v>1026</v>
      </c>
      <c r="Q284" t="s">
        <v>4939</v>
      </c>
      <c r="R284" t="s">
        <v>1004</v>
      </c>
    </row>
    <row r="285" spans="1:22" ht="15.6" x14ac:dyDescent="0.3">
      <c r="B285" s="16" t="s">
        <v>330</v>
      </c>
      <c r="C285" s="31" t="s">
        <v>1108</v>
      </c>
      <c r="D285" s="2"/>
      <c r="E285" s="2"/>
      <c r="F285" s="2"/>
      <c r="G285" s="2" t="s">
        <v>4785</v>
      </c>
      <c r="H285" s="25" t="s">
        <v>333</v>
      </c>
      <c r="I285" s="27">
        <v>20</v>
      </c>
      <c r="J285" s="2"/>
      <c r="K285" s="5">
        <v>1</v>
      </c>
      <c r="L285" s="2"/>
      <c r="M285" s="2" t="s">
        <v>4940</v>
      </c>
      <c r="N285" s="2"/>
      <c r="O285" s="2" t="s">
        <v>121</v>
      </c>
      <c r="P285" s="2"/>
    </row>
    <row r="286" spans="1:22" x14ac:dyDescent="0.3">
      <c r="A286" t="s">
        <v>55</v>
      </c>
      <c r="B286" s="27" t="s">
        <v>39</v>
      </c>
      <c r="C286" s="25" t="s">
        <v>1054</v>
      </c>
      <c r="D286" s="19"/>
      <c r="E286" s="15" t="s">
        <v>1109</v>
      </c>
      <c r="F286" s="2" t="s">
        <v>696</v>
      </c>
      <c r="G286" s="2" t="s">
        <v>4901</v>
      </c>
      <c r="H286" s="172" t="s">
        <v>42</v>
      </c>
      <c r="I286" s="56">
        <v>443.16199999999998</v>
      </c>
      <c r="J286" s="5">
        <v>17</v>
      </c>
      <c r="K286" s="5">
        <v>40</v>
      </c>
      <c r="L286" s="2" t="s">
        <v>855</v>
      </c>
      <c r="M286" s="94">
        <v>44718</v>
      </c>
      <c r="N286" s="156">
        <v>44568</v>
      </c>
      <c r="O286" s="27" t="s">
        <v>28</v>
      </c>
      <c r="P286" s="2" t="s">
        <v>4941</v>
      </c>
      <c r="Q286" s="18" t="s">
        <v>4942</v>
      </c>
      <c r="R286" s="18"/>
      <c r="V286" t="s">
        <v>4943</v>
      </c>
    </row>
    <row r="287" spans="1:22" x14ac:dyDescent="0.3">
      <c r="A287" t="s">
        <v>55</v>
      </c>
      <c r="B287" s="36" t="s">
        <v>149</v>
      </c>
      <c r="C287" s="6" t="s">
        <v>1110</v>
      </c>
      <c r="D287" s="94">
        <v>44870</v>
      </c>
      <c r="E287" s="25" t="s">
        <v>1111</v>
      </c>
      <c r="F287" s="97">
        <v>44567</v>
      </c>
      <c r="G287" s="25" t="s">
        <v>1318</v>
      </c>
      <c r="H287" s="20" t="s">
        <v>152</v>
      </c>
      <c r="I287" s="55">
        <v>20</v>
      </c>
      <c r="J287" s="5">
        <v>1</v>
      </c>
      <c r="K287" s="5">
        <v>20</v>
      </c>
      <c r="L287" s="2" t="s">
        <v>1025</v>
      </c>
      <c r="M287" s="95">
        <v>44568</v>
      </c>
      <c r="N287" s="44" t="s">
        <v>3577</v>
      </c>
      <c r="O287" s="2" t="s">
        <v>4944</v>
      </c>
      <c r="P287" s="19" t="s">
        <v>3599</v>
      </c>
      <c r="Q287" s="18" t="s">
        <v>4945</v>
      </c>
    </row>
    <row r="288" spans="1:22" x14ac:dyDescent="0.3">
      <c r="A288" t="s">
        <v>344</v>
      </c>
      <c r="B288" s="27" t="s">
        <v>934</v>
      </c>
      <c r="C288" s="4" t="s">
        <v>1112</v>
      </c>
      <c r="D288" s="2"/>
      <c r="E288" s="19" t="s">
        <v>1113</v>
      </c>
      <c r="F288" s="2"/>
      <c r="G288" s="2" t="s">
        <v>4946</v>
      </c>
      <c r="H288" s="7" t="s">
        <v>205</v>
      </c>
      <c r="I288" s="23">
        <v>72</v>
      </c>
      <c r="J288" s="2">
        <v>3</v>
      </c>
      <c r="K288" s="2">
        <v>20</v>
      </c>
      <c r="L288" s="112">
        <v>44901</v>
      </c>
      <c r="M288" s="95" t="s">
        <v>4940</v>
      </c>
      <c r="N288" s="112">
        <v>44872</v>
      </c>
      <c r="O288" s="25" t="s">
        <v>4947</v>
      </c>
      <c r="P288" s="95">
        <v>44568</v>
      </c>
      <c r="Q288" t="s">
        <v>4948</v>
      </c>
    </row>
    <row r="289" spans="1:18" x14ac:dyDescent="0.3">
      <c r="A289" t="s">
        <v>1438</v>
      </c>
      <c r="B289" s="27" t="s">
        <v>934</v>
      </c>
      <c r="C289" s="63" t="s">
        <v>1114</v>
      </c>
      <c r="D289" s="2" t="s">
        <v>4898</v>
      </c>
      <c r="E289" s="2" t="s">
        <v>1115</v>
      </c>
      <c r="F289" s="112">
        <v>44625</v>
      </c>
      <c r="G289" s="2" t="s">
        <v>3562</v>
      </c>
      <c r="H289" s="16" t="s">
        <v>1116</v>
      </c>
      <c r="I289" s="65">
        <v>27</v>
      </c>
      <c r="J289" s="2">
        <v>1</v>
      </c>
      <c r="K289" s="2">
        <v>20</v>
      </c>
      <c r="L289" s="112">
        <v>44901</v>
      </c>
      <c r="M289" s="25" t="s">
        <v>948</v>
      </c>
      <c r="N289" s="112">
        <v>44719</v>
      </c>
      <c r="O289" s="2" t="s">
        <v>121</v>
      </c>
      <c r="P289" s="2" t="s">
        <v>4940</v>
      </c>
      <c r="Q289" t="s">
        <v>4949</v>
      </c>
    </row>
    <row r="290" spans="1:18" x14ac:dyDescent="0.3">
      <c r="B290" s="27" t="s">
        <v>934</v>
      </c>
      <c r="C290" s="25" t="s">
        <v>1117</v>
      </c>
      <c r="D290" s="19" t="s">
        <v>4924</v>
      </c>
      <c r="E290" s="25" t="s">
        <v>1118</v>
      </c>
      <c r="F290" s="112">
        <v>44625</v>
      </c>
      <c r="G290" s="25" t="s">
        <v>3562</v>
      </c>
      <c r="H290" s="16" t="s">
        <v>1116</v>
      </c>
      <c r="I290" s="23">
        <v>54</v>
      </c>
      <c r="J290" s="5">
        <v>2</v>
      </c>
      <c r="K290" s="5">
        <v>20</v>
      </c>
      <c r="L290" s="2"/>
      <c r="M290" s="25" t="s">
        <v>948</v>
      </c>
      <c r="N290" s="156">
        <v>44719</v>
      </c>
      <c r="O290" s="2" t="s">
        <v>121</v>
      </c>
      <c r="P290" s="95">
        <v>44568</v>
      </c>
      <c r="Q290" s="74" t="s">
        <v>4950</v>
      </c>
    </row>
    <row r="291" spans="1:18" x14ac:dyDescent="0.3">
      <c r="B291" s="25" t="s">
        <v>1119</v>
      </c>
      <c r="C291" s="6" t="s">
        <v>1120</v>
      </c>
      <c r="D291" s="95">
        <v>44779</v>
      </c>
      <c r="E291" s="2" t="s">
        <v>1121</v>
      </c>
      <c r="F291" s="2" t="s">
        <v>944</v>
      </c>
      <c r="G291" s="2" t="s">
        <v>4951</v>
      </c>
      <c r="H291" s="34" t="s">
        <v>1122</v>
      </c>
      <c r="I291" s="2" t="s">
        <v>1123</v>
      </c>
      <c r="J291" s="2"/>
      <c r="K291" s="2"/>
      <c r="L291" s="2"/>
      <c r="M291" s="25" t="s">
        <v>1073</v>
      </c>
      <c r="N291" s="2"/>
      <c r="O291" s="2" t="s">
        <v>121</v>
      </c>
      <c r="P291" s="2" t="s">
        <v>1056</v>
      </c>
      <c r="Q291" s="74" t="s">
        <v>4952</v>
      </c>
    </row>
    <row r="292" spans="1:18" x14ac:dyDescent="0.3">
      <c r="B292" s="27" t="s">
        <v>345</v>
      </c>
      <c r="C292" s="2" t="s">
        <v>1124</v>
      </c>
      <c r="D292" s="2"/>
      <c r="E292" s="19">
        <v>218447584</v>
      </c>
      <c r="F292" s="2" t="s">
        <v>4953</v>
      </c>
      <c r="G292" s="2" t="s">
        <v>1435</v>
      </c>
      <c r="H292" s="16" t="s">
        <v>205</v>
      </c>
      <c r="I292" s="20">
        <v>54</v>
      </c>
      <c r="J292" s="2">
        <v>2</v>
      </c>
      <c r="K292" s="2">
        <v>20</v>
      </c>
      <c r="L292" s="2" t="s">
        <v>944</v>
      </c>
      <c r="M292" s="95">
        <v>44627</v>
      </c>
      <c r="N292" s="2" t="s">
        <v>3541</v>
      </c>
      <c r="O292" s="25" t="s">
        <v>28</v>
      </c>
      <c r="P292" s="2" t="s">
        <v>1073</v>
      </c>
      <c r="Q292" t="s">
        <v>4954</v>
      </c>
    </row>
    <row r="293" spans="1:18" x14ac:dyDescent="0.3">
      <c r="B293" s="27" t="s">
        <v>1125</v>
      </c>
      <c r="C293" s="4" t="s">
        <v>1126</v>
      </c>
      <c r="D293" s="2"/>
      <c r="E293" s="2" t="s">
        <v>1127</v>
      </c>
      <c r="F293" s="2" t="s">
        <v>801</v>
      </c>
      <c r="G293" s="2" t="s">
        <v>4955</v>
      </c>
      <c r="H293" s="16" t="s">
        <v>1128</v>
      </c>
      <c r="I293" s="23">
        <v>20</v>
      </c>
      <c r="J293" s="2">
        <v>1</v>
      </c>
      <c r="K293" s="2">
        <v>20</v>
      </c>
      <c r="L293" s="2" t="s">
        <v>3710</v>
      </c>
      <c r="M293" s="2" t="s">
        <v>1026</v>
      </c>
      <c r="N293" s="112">
        <v>44811</v>
      </c>
      <c r="O293" s="25" t="s">
        <v>121</v>
      </c>
      <c r="P293" s="2" t="s">
        <v>4956</v>
      </c>
      <c r="Q293" s="18" t="s">
        <v>4957</v>
      </c>
    </row>
    <row r="294" spans="1:18" x14ac:dyDescent="0.3">
      <c r="B294" s="25" t="s">
        <v>1129</v>
      </c>
      <c r="C294" s="25" t="s">
        <v>1130</v>
      </c>
      <c r="D294" s="19" t="s">
        <v>617</v>
      </c>
      <c r="E294" s="2" t="s">
        <v>1131</v>
      </c>
      <c r="F294" s="112">
        <v>44747</v>
      </c>
      <c r="G294" s="2" t="s">
        <v>1296</v>
      </c>
      <c r="H294" s="2" t="s">
        <v>1132</v>
      </c>
      <c r="I294" s="2">
        <v>1</v>
      </c>
      <c r="J294" s="2"/>
      <c r="K294" s="2"/>
      <c r="L294" s="2"/>
      <c r="M294" s="94">
        <v>44658</v>
      </c>
      <c r="N294" s="2"/>
      <c r="O294" s="2" t="s">
        <v>121</v>
      </c>
      <c r="P294" s="95">
        <v>44749</v>
      </c>
      <c r="Q294" s="74" t="s">
        <v>4958</v>
      </c>
    </row>
    <row r="295" spans="1:18" x14ac:dyDescent="0.3">
      <c r="B295" s="135" t="s">
        <v>76</v>
      </c>
      <c r="C295" s="19" t="s">
        <v>1133</v>
      </c>
      <c r="D295" s="95">
        <v>44709</v>
      </c>
      <c r="E295" s="2" t="s">
        <v>1134</v>
      </c>
      <c r="F295" s="2" t="s">
        <v>1056</v>
      </c>
      <c r="G295" s="2" t="s">
        <v>1938</v>
      </c>
      <c r="H295" s="15" t="s">
        <v>78</v>
      </c>
      <c r="I295" s="25">
        <v>50</v>
      </c>
      <c r="J295" s="2"/>
      <c r="K295" s="2"/>
      <c r="L295" s="2"/>
      <c r="M295" s="112">
        <v>44568</v>
      </c>
      <c r="N295" s="2"/>
      <c r="O295" s="2" t="s">
        <v>1138</v>
      </c>
      <c r="P295" s="112">
        <v>44780</v>
      </c>
      <c r="Q295" s="74" t="s">
        <v>1139</v>
      </c>
    </row>
    <row r="296" spans="1:18" x14ac:dyDescent="0.3">
      <c r="B296" s="222" t="s">
        <v>124</v>
      </c>
      <c r="C296" s="2" t="s">
        <v>1135</v>
      </c>
      <c r="D296" s="95">
        <v>44658</v>
      </c>
      <c r="E296" s="2" t="s">
        <v>1136</v>
      </c>
      <c r="F296" s="112">
        <v>44780</v>
      </c>
      <c r="G296" s="2"/>
      <c r="H296" s="67" t="s">
        <v>729</v>
      </c>
      <c r="I296" s="25">
        <v>35000</v>
      </c>
      <c r="J296" s="2"/>
      <c r="K296" s="2"/>
      <c r="L296" s="2"/>
      <c r="M296" s="112">
        <v>44872</v>
      </c>
      <c r="N296" s="2"/>
      <c r="O296" s="2" t="s">
        <v>28</v>
      </c>
      <c r="P296" s="112">
        <v>44902</v>
      </c>
    </row>
    <row r="297" spans="1:18" x14ac:dyDescent="0.3">
      <c r="C297" s="2"/>
      <c r="D297" s="2"/>
      <c r="E297" s="2"/>
      <c r="F297" s="2"/>
      <c r="G297" s="2"/>
      <c r="H297" s="67" t="s">
        <v>731</v>
      </c>
      <c r="I297" s="25">
        <v>24000</v>
      </c>
      <c r="J297" s="2"/>
      <c r="K297" s="2"/>
      <c r="L297" s="2"/>
      <c r="M297" s="2"/>
      <c r="N297" s="2"/>
      <c r="O297" s="2"/>
      <c r="P297" s="2"/>
    </row>
    <row r="298" spans="1:18" x14ac:dyDescent="0.3">
      <c r="B298" s="222"/>
      <c r="C298" s="219"/>
      <c r="D298" s="219"/>
      <c r="E298" s="95"/>
      <c r="F298" s="220"/>
      <c r="G298" s="2"/>
      <c r="H298" s="67" t="s">
        <v>1137</v>
      </c>
      <c r="I298" s="25">
        <v>1000</v>
      </c>
      <c r="J298" s="25"/>
      <c r="K298" s="221"/>
      <c r="L298" s="2"/>
      <c r="M298" s="2"/>
      <c r="N298" s="2"/>
      <c r="O298" s="2"/>
      <c r="P298" s="223"/>
    </row>
    <row r="299" spans="1:18" x14ac:dyDescent="0.3">
      <c r="A299" t="s">
        <v>60</v>
      </c>
      <c r="B299" s="25" t="s">
        <v>1140</v>
      </c>
      <c r="C299" s="35" t="s">
        <v>1141</v>
      </c>
      <c r="D299" s="2"/>
      <c r="E299" s="2" t="s">
        <v>4959</v>
      </c>
      <c r="F299" s="2"/>
      <c r="G299" s="2" t="s">
        <v>4960</v>
      </c>
      <c r="H299" s="25" t="s">
        <v>24</v>
      </c>
      <c r="I299" s="20">
        <v>28.343</v>
      </c>
      <c r="J299" s="5">
        <v>1</v>
      </c>
      <c r="K299" s="5"/>
      <c r="L299" s="2"/>
      <c r="M299" s="112">
        <v>44872</v>
      </c>
      <c r="N299" s="2">
        <v>2</v>
      </c>
      <c r="O299" s="25" t="s">
        <v>405</v>
      </c>
      <c r="P299" s="2"/>
      <c r="Q299" t="s">
        <v>4961</v>
      </c>
    </row>
    <row r="300" spans="1:18" x14ac:dyDescent="0.3">
      <c r="Q300" t="s">
        <v>4962</v>
      </c>
      <c r="R300" t="s">
        <v>38</v>
      </c>
    </row>
  </sheetData>
  <mergeCells count="12">
    <mergeCell ref="B71:B72"/>
    <mergeCell ref="C71:C72"/>
    <mergeCell ref="C120:C121"/>
    <mergeCell ref="D120:D121"/>
    <mergeCell ref="O195:O196"/>
    <mergeCell ref="B195:B196"/>
    <mergeCell ref="C195:C196"/>
    <mergeCell ref="E195:E196"/>
    <mergeCell ref="K275:K276"/>
    <mergeCell ref="B204:B205"/>
    <mergeCell ref="C204:C205"/>
    <mergeCell ref="M204:M205"/>
  </mergeCells>
  <pageMargins left="0.7" right="0.7" top="0.75" bottom="0.75" header="0.3" footer="0.3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2287a7-3496-4c05-871f-d689312e30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838B96E3C84847A250180B7A65945F" ma:contentTypeVersion="15" ma:contentTypeDescription="Create a new document." ma:contentTypeScope="" ma:versionID="0b463bd1fafaecdac8d14a62684d8d97">
  <xsd:schema xmlns:xsd="http://www.w3.org/2001/XMLSchema" xmlns:xs="http://www.w3.org/2001/XMLSchema" xmlns:p="http://schemas.microsoft.com/office/2006/metadata/properties" xmlns:ns3="e52287a7-3496-4c05-871f-d689312e3065" targetNamespace="http://schemas.microsoft.com/office/2006/metadata/properties" ma:root="true" ma:fieldsID="adf47ffbdad5b6aef7e137776ad8558e" ns3:_="">
    <xsd:import namespace="e52287a7-3496-4c05-871f-d689312e30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287a7-3496-4c05-871f-d689312e30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B6AD02-DA4C-4E08-967E-A9FC5AC3286A}">
  <ds:schemaRefs>
    <ds:schemaRef ds:uri="http://purl.org/dc/elements/1.1/"/>
    <ds:schemaRef ds:uri="http://schemas.openxmlformats.org/package/2006/metadata/core-properties"/>
    <ds:schemaRef ds:uri="http://purl.org/dc/terms/"/>
    <ds:schemaRef ds:uri="e52287a7-3496-4c05-871f-d689312e3065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FD25508-62A0-4FCF-8775-E2FE39C5BD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287a7-3496-4c05-871f-d689312e3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926C78-1287-4552-A46A-0DA996BDAA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078-79</vt:lpstr>
      <vt:lpstr>NICPL</vt:lpstr>
      <vt:lpstr>PROCHEM</vt:lpstr>
      <vt:lpstr>OIL TANKER</vt:lpstr>
      <vt:lpstr>PBT</vt:lpstr>
      <vt:lpstr>material reach 82-83</vt:lpstr>
      <vt:lpstr>material reach 79-80</vt:lpstr>
      <vt:lpstr>material reached 78-79</vt:lpstr>
      <vt:lpstr>NICPL!JOBNO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Prabhat Shrestha</dc:creator>
  <cp:keywords/>
  <dc:description/>
  <cp:lastModifiedBy>Shailesh Sharma</cp:lastModifiedBy>
  <cp:revision/>
  <dcterms:created xsi:type="dcterms:W3CDTF">2021-04-27T11:35:26Z</dcterms:created>
  <dcterms:modified xsi:type="dcterms:W3CDTF">2026-09-22T04:36:27Z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0x01010098838B96E3C84847A250180B7A65945F</vt:lpwstr>
  </property>
</Properties>
</file>